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YNi\"/>
    </mc:Choice>
  </mc:AlternateContent>
  <xr:revisionPtr revIDLastSave="0" documentId="13_ncr:1_{54391DBB-67C5-4C26-9B70-25D2B95CABEB}" xr6:coauthVersionLast="47" xr6:coauthVersionMax="47" xr10:uidLastSave="{00000000-0000-0000-0000-000000000000}"/>
  <bookViews>
    <workbookView xWindow="-120" yWindow="-120" windowWidth="19440" windowHeight="8850" activeTab="2" xr2:uid="{00000000-000D-0000-FFFF-FFFF00000000}"/>
  </bookViews>
  <sheets>
    <sheet name="17" sheetId="2" r:id="rId1"/>
    <sheet name="18" sheetId="3" r:id="rId2"/>
    <sheet name="19" sheetId="5" r:id="rId3"/>
  </sheets>
  <calcPr calcId="181029"/>
</workbook>
</file>

<file path=xl/calcChain.xml><?xml version="1.0" encoding="utf-8"?>
<calcChain xmlns="http://schemas.openxmlformats.org/spreadsheetml/2006/main">
  <c r="J7" i="3" l="1"/>
</calcChain>
</file>

<file path=xl/sharedStrings.xml><?xml version="1.0" encoding="utf-8"?>
<sst xmlns="http://schemas.openxmlformats.org/spreadsheetml/2006/main" count="128" uniqueCount="93">
  <si>
    <t>Yêu Cầu</t>
  </si>
  <si>
    <t>STT</t>
  </si>
  <si>
    <t>TÊN
K.HÀNG</t>
  </si>
  <si>
    <t>PHÒNG</t>
  </si>
  <si>
    <t>NGÀY ĐẾN</t>
  </si>
  <si>
    <t>NGÀY ĐI</t>
  </si>
  <si>
    <t>SỐ
TUẦN</t>
  </si>
  <si>
    <t>Đ.GIÁ
TUẦN</t>
  </si>
  <si>
    <t>SỐ
NGÀY LẺ</t>
  </si>
  <si>
    <t>ĐƠN GIÁ
NGÀY</t>
  </si>
  <si>
    <t>CỘNG</t>
  </si>
  <si>
    <t>Quang</t>
  </si>
  <si>
    <t>L1B</t>
  </si>
  <si>
    <t>Ngọc</t>
  </si>
  <si>
    <t>TRA</t>
  </si>
  <si>
    <t>Võ</t>
  </si>
  <si>
    <t>Trân</t>
  </si>
  <si>
    <t>L2A</t>
  </si>
  <si>
    <t>Phan</t>
  </si>
  <si>
    <t>L1A</t>
  </si>
  <si>
    <t>Lâm</t>
  </si>
  <si>
    <t>TRB</t>
  </si>
  <si>
    <t>Lê</t>
  </si>
  <si>
    <t>Đặng</t>
  </si>
  <si>
    <t>BIỂU GIÁ KHÁCH SẠN</t>
  </si>
  <si>
    <t>LOẠI
PHÒNG</t>
  </si>
  <si>
    <t>GIÁ
TUẦN</t>
  </si>
  <si>
    <t>GIÁ 
NGÀY</t>
  </si>
  <si>
    <t>NGÀY
ĐẾN</t>
  </si>
  <si>
    <t>NGÀY
ĐI</t>
  </si>
  <si>
    <t>SỐ
NGÀY</t>
  </si>
  <si>
    <t>SỐ
NGƯỜI</t>
  </si>
  <si>
    <t>GIÁ
PHÒNG</t>
  </si>
  <si>
    <t>GIÁ
P.THU</t>
  </si>
  <si>
    <t>TIỀN
PHÒNG</t>
  </si>
  <si>
    <t>A</t>
  </si>
  <si>
    <t>B</t>
  </si>
  <si>
    <t>C</t>
  </si>
  <si>
    <t>BẢNG ĐƠN GIÁ PHÒNG VÀ PHỤ THU</t>
  </si>
  <si>
    <t>TỔNG DOANH THU THEO LOẠI PHÒNG</t>
  </si>
  <si>
    <t>L.PHÒNG</t>
  </si>
  <si>
    <t>GIÁ 1</t>
  </si>
  <si>
    <t>TỔNG TIỀN</t>
  </si>
  <si>
    <t>GIÁ 2</t>
  </si>
  <si>
    <t>GIÁ P.THU</t>
  </si>
  <si>
    <t>1.   Số ngày = ngày đi - ngày đến, nếu ngày đi trùng ngày đến thì tính 1 ngày</t>
  </si>
  <si>
    <t>2.   Giá phòng dựa vào loại phòng và dò tìm trong bảng đơn giá phòng. Nếu phòng có 1 người thuê thì lấy Giá 1</t>
  </si>
  <si>
    <t xml:space="preserve">      Nếu từ 2 người trở lên thì lấy Giá 2</t>
  </si>
  <si>
    <t>3.   Giá phụ thu dựa vào loại phòng và bảng giá phụ thu.</t>
  </si>
  <si>
    <t>4.   Tiền phòng = số ngày * (giá phòng + giá phụ thu).</t>
  </si>
  <si>
    <t xml:space="preserve">      Nhưng nếu khách thuê phòng trên 10 ngày thì được giảm 10% giá phụ thu.</t>
  </si>
  <si>
    <t>5.   Thực hiện bảng thống kê tổng tiền thu từng loại phòng.</t>
  </si>
  <si>
    <t>6.   Trích ra danh sách khách thuê phòng loại A</t>
  </si>
  <si>
    <t>7.   Trích ra danh sách khách thuê phòng loại B và có trên 2 người thuê.</t>
  </si>
  <si>
    <t>Mã số</t>
  </si>
  <si>
    <t>Họ Tên</t>
  </si>
  <si>
    <t>Phái</t>
  </si>
  <si>
    <t>Năm sinh</t>
  </si>
  <si>
    <t>Nội 
dung thi</t>
  </si>
  <si>
    <t>Xuất
phát</t>
  </si>
  <si>
    <t>Về đích</t>
  </si>
  <si>
    <t>Thành tích</t>
  </si>
  <si>
    <t>C8</t>
  </si>
  <si>
    <t>Trần Văn Lộc</t>
  </si>
  <si>
    <t>Nam</t>
  </si>
  <si>
    <t>C4</t>
  </si>
  <si>
    <t>Võ Thế Bảo</t>
  </si>
  <si>
    <t>B3</t>
  </si>
  <si>
    <t>Lê Văn Toàn</t>
  </si>
  <si>
    <t>M1</t>
  </si>
  <si>
    <t>Trần Tấn Tài</t>
  </si>
  <si>
    <t>M5</t>
  </si>
  <si>
    <t>Lê Minh Tâm</t>
  </si>
  <si>
    <t>C6</t>
  </si>
  <si>
    <t>Vũ Thị Liên</t>
  </si>
  <si>
    <t>Nữ</t>
  </si>
  <si>
    <t>B2</t>
  </si>
  <si>
    <t xml:space="preserve">Lê Xuân An </t>
  </si>
  <si>
    <t>M9</t>
  </si>
  <si>
    <t>Lê Ngọc Thuỷ</t>
  </si>
  <si>
    <t>M7</t>
  </si>
  <si>
    <t>Võ Thanh Tâm</t>
  </si>
  <si>
    <t>Tên nội dung thi-Xuất phát</t>
  </si>
  <si>
    <t>Thống kê Thành tích Maraton</t>
  </si>
  <si>
    <t>M</t>
  </si>
  <si>
    <t>Maraton</t>
  </si>
  <si>
    <t>Cao nhất</t>
  </si>
  <si>
    <t>Thấp nhất</t>
  </si>
  <si>
    <t>Đi bộ 20km</t>
  </si>
  <si>
    <t>Chạy 10000m</t>
  </si>
  <si>
    <t>BÀI 17: BẢNG KÊ CHI PHÍ THUÊ KHÁCH SẠN</t>
  </si>
  <si>
    <t>BÀI 18: BÁO CÁO DOANH THU PHÒNG</t>
  </si>
  <si>
    <t>BÀI 19: KẾT QUẢ CUỘC THI CHẠY VIỆT DÃ -2007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</si>
</sst>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7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  <charset val="163"/>
    </font>
    <font>
      <sz val="13"/>
      <color rgb="FFFF0000"/>
      <name val="Calibri"/>
      <family val="2"/>
      <scheme val="minor"/>
    </font>
    <font>
      <b/>
      <sz val="14"/>
      <color rgb="FFFF0000"/>
      <name val="Times New Roman"/>
      <family val="1"/>
    </font>
    <font>
      <sz val="13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/>
    <xf numFmtId="0" fontId="3" fillId="0" borderId="5" xfId="0" applyFont="1" applyBorder="1"/>
    <xf numFmtId="14" fontId="0" fillId="0" borderId="5" xfId="0" applyNumberFormat="1" applyBorder="1"/>
    <xf numFmtId="0" fontId="0" fillId="0" borderId="0" xfId="0" applyNumberFormat="1"/>
    <xf numFmtId="14" fontId="3" fillId="0" borderId="5" xfId="0" applyNumberFormat="1" applyFont="1" applyBorder="1"/>
    <xf numFmtId="0" fontId="0" fillId="0" borderId="5" xfId="0" applyBorder="1" applyAlignment="1">
      <alignment wrapText="1"/>
    </xf>
    <xf numFmtId="0" fontId="1" fillId="0" borderId="0" xfId="0" applyFont="1" applyBorder="1" applyAlignment="1">
      <alignment vertical="center"/>
    </xf>
    <xf numFmtId="14" fontId="2" fillId="0" borderId="5" xfId="0" applyNumberFormat="1" applyFont="1" applyBorder="1" applyAlignment="1">
      <alignment vertical="center"/>
    </xf>
    <xf numFmtId="0" fontId="2" fillId="0" borderId="5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14" fontId="2" fillId="2" borderId="0" xfId="0" applyNumberFormat="1" applyFont="1" applyFill="1" applyAlignment="1">
      <alignment vertical="center"/>
    </xf>
    <xf numFmtId="0" fontId="2" fillId="2" borderId="0" xfId="0" applyNumberFormat="1" applyFont="1" applyFill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4" fontId="2" fillId="0" borderId="5" xfId="0" applyNumberFormat="1" applyFont="1" applyFill="1" applyBorder="1" applyAlignment="1">
      <alignment vertical="center"/>
    </xf>
    <xf numFmtId="0" fontId="2" fillId="0" borderId="5" xfId="0" applyNumberFormat="1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vertical="center"/>
    </xf>
    <xf numFmtId="164" fontId="0" fillId="0" borderId="5" xfId="0" applyNumberFormat="1" applyBorder="1"/>
    <xf numFmtId="20" fontId="0" fillId="0" borderId="5" xfId="0" applyNumberFormat="1" applyBorder="1"/>
    <xf numFmtId="0" fontId="0" fillId="0" borderId="0" xfId="0" applyBorder="1"/>
    <xf numFmtId="0" fontId="0" fillId="3" borderId="5" xfId="0" applyFill="1" applyBorder="1" applyAlignment="1"/>
    <xf numFmtId="0" fontId="0" fillId="3" borderId="5" xfId="0" applyFill="1" applyBorder="1"/>
    <xf numFmtId="20" fontId="0" fillId="3" borderId="5" xfId="0" applyNumberFormat="1" applyFill="1" applyBorder="1"/>
    <xf numFmtId="0" fontId="0" fillId="4" borderId="5" xfId="0" applyFill="1" applyBorder="1"/>
    <xf numFmtId="164" fontId="0" fillId="4" borderId="5" xfId="0" applyNumberFormat="1" applyFill="1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19</xdr:row>
      <xdr:rowOff>19050</xdr:rowOff>
    </xdr:from>
    <xdr:to>
      <xdr:col>10</xdr:col>
      <xdr:colOff>209550</xdr:colOff>
      <xdr:row>26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19075" y="4048125"/>
          <a:ext cx="6572250" cy="1457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YÊU CẦU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Dựa vào ngày đi và ngày đến, tính số tuần và số ngày lẻ đã ở. 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Dựa vào loại phòng và biểu giá khách sạn, điền dữ liệu vào cột đơn giá tuần và đơn giá ngày. 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Tính cột CỘNG  = số tuần *đơn giá tuần +số ngày lẻ*đơn giá ngày. Nếu số tiền của phần ngày lẻ &gt; đơn giá tuần thì lấy đơn giá tuần. 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>
      <selection activeCell="A2" sqref="A2"/>
    </sheetView>
  </sheetViews>
  <sheetFormatPr defaultRowHeight="15" x14ac:dyDescent="0.25"/>
  <cols>
    <col min="4" max="4" width="11.85546875" customWidth="1"/>
    <col min="5" max="5" width="12.140625" customWidth="1"/>
    <col min="8" max="8" width="10.7109375" bestFit="1" customWidth="1"/>
  </cols>
  <sheetData>
    <row r="1" spans="1:11" ht="17.25" x14ac:dyDescent="0.3">
      <c r="A1" s="49" t="s">
        <v>90</v>
      </c>
      <c r="B1" s="49"/>
      <c r="C1" s="49"/>
      <c r="D1" s="49"/>
      <c r="E1" s="49"/>
      <c r="F1" s="49"/>
      <c r="G1" s="49"/>
      <c r="H1" s="49"/>
      <c r="I1" s="49"/>
      <c r="J1" s="49"/>
    </row>
    <row r="2" spans="1:11" ht="30" x14ac:dyDescent="0.2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</row>
    <row r="3" spans="1:11" x14ac:dyDescent="0.25">
      <c r="A3" s="10">
        <v>1</v>
      </c>
      <c r="B3" s="10" t="s">
        <v>11</v>
      </c>
      <c r="C3" s="11" t="s">
        <v>12</v>
      </c>
      <c r="D3" s="12">
        <v>40308</v>
      </c>
      <c r="E3" s="12">
        <v>40350</v>
      </c>
      <c r="F3" s="10"/>
      <c r="G3" s="10"/>
      <c r="H3" s="10"/>
      <c r="I3" s="10"/>
      <c r="J3" s="10"/>
      <c r="K3" s="13"/>
    </row>
    <row r="4" spans="1:11" x14ac:dyDescent="0.25">
      <c r="A4" s="10">
        <v>2</v>
      </c>
      <c r="B4" s="10" t="s">
        <v>13</v>
      </c>
      <c r="C4" s="11" t="s">
        <v>14</v>
      </c>
      <c r="D4" s="14">
        <v>40382</v>
      </c>
      <c r="E4" s="12">
        <v>40401</v>
      </c>
      <c r="F4" s="10"/>
      <c r="G4" s="10"/>
      <c r="H4" s="10"/>
      <c r="I4" s="10"/>
      <c r="J4" s="10"/>
      <c r="K4" s="13"/>
    </row>
    <row r="5" spans="1:11" x14ac:dyDescent="0.25">
      <c r="A5" s="10">
        <v>3</v>
      </c>
      <c r="B5" s="11" t="s">
        <v>15</v>
      </c>
      <c r="C5" s="11" t="s">
        <v>12</v>
      </c>
      <c r="D5" s="12">
        <v>40341</v>
      </c>
      <c r="E5" s="12">
        <v>40348</v>
      </c>
      <c r="F5" s="10"/>
      <c r="G5" s="10"/>
      <c r="H5" s="10"/>
      <c r="I5" s="10"/>
      <c r="J5" s="10"/>
      <c r="K5" s="13"/>
    </row>
    <row r="6" spans="1:11" x14ac:dyDescent="0.25">
      <c r="A6" s="10">
        <v>4</v>
      </c>
      <c r="B6" s="11" t="s">
        <v>16</v>
      </c>
      <c r="C6" s="11" t="s">
        <v>17</v>
      </c>
      <c r="D6" s="12">
        <v>40324</v>
      </c>
      <c r="E6" s="12">
        <v>40336</v>
      </c>
      <c r="F6" s="10"/>
      <c r="G6" s="10"/>
      <c r="H6" s="10"/>
      <c r="I6" s="10"/>
      <c r="J6" s="10"/>
      <c r="K6" s="13"/>
    </row>
    <row r="7" spans="1:11" x14ac:dyDescent="0.25">
      <c r="A7" s="10">
        <v>5</v>
      </c>
      <c r="B7" s="11" t="s">
        <v>18</v>
      </c>
      <c r="C7" s="11" t="s">
        <v>19</v>
      </c>
      <c r="D7" s="12">
        <v>40409</v>
      </c>
      <c r="E7" s="12">
        <v>40415</v>
      </c>
      <c r="F7" s="10"/>
      <c r="G7" s="10"/>
      <c r="H7" s="10"/>
      <c r="I7" s="10"/>
      <c r="J7" s="10"/>
      <c r="K7" s="13"/>
    </row>
    <row r="8" spans="1:11" x14ac:dyDescent="0.25">
      <c r="A8" s="10">
        <v>6</v>
      </c>
      <c r="B8" s="11" t="s">
        <v>20</v>
      </c>
      <c r="C8" s="11" t="s">
        <v>21</v>
      </c>
      <c r="D8" s="12">
        <v>40402</v>
      </c>
      <c r="E8" s="12">
        <v>40412</v>
      </c>
      <c r="F8" s="10"/>
      <c r="G8" s="10"/>
      <c r="H8" s="10"/>
      <c r="I8" s="10"/>
      <c r="J8" s="10"/>
      <c r="K8" s="13"/>
    </row>
    <row r="9" spans="1:11" x14ac:dyDescent="0.25">
      <c r="A9" s="10">
        <v>7</v>
      </c>
      <c r="B9" s="11" t="s">
        <v>22</v>
      </c>
      <c r="C9" s="11" t="s">
        <v>14</v>
      </c>
      <c r="D9" s="12">
        <v>40448</v>
      </c>
      <c r="E9" s="12">
        <v>40464</v>
      </c>
      <c r="F9" s="10"/>
      <c r="G9" s="10"/>
      <c r="H9" s="10"/>
      <c r="I9" s="10"/>
      <c r="J9" s="10"/>
      <c r="K9" s="13"/>
    </row>
    <row r="10" spans="1:11" x14ac:dyDescent="0.25">
      <c r="A10" s="10">
        <v>8</v>
      </c>
      <c r="B10" s="11" t="s">
        <v>23</v>
      </c>
      <c r="C10" s="11" t="s">
        <v>17</v>
      </c>
      <c r="D10" s="12">
        <v>40506</v>
      </c>
      <c r="E10" s="12">
        <v>40538</v>
      </c>
      <c r="F10" s="10"/>
      <c r="G10" s="10"/>
      <c r="H10" s="12"/>
      <c r="I10" s="10"/>
      <c r="J10" s="10"/>
      <c r="K10" s="13"/>
    </row>
    <row r="12" spans="1:11" x14ac:dyDescent="0.25">
      <c r="B12" s="50" t="s">
        <v>24</v>
      </c>
      <c r="C12" s="50"/>
      <c r="D12" s="50"/>
    </row>
    <row r="13" spans="1:11" ht="30" x14ac:dyDescent="0.25">
      <c r="B13" s="15" t="s">
        <v>25</v>
      </c>
      <c r="C13" s="15" t="s">
        <v>26</v>
      </c>
      <c r="D13" s="15" t="s">
        <v>27</v>
      </c>
    </row>
    <row r="14" spans="1:11" x14ac:dyDescent="0.25">
      <c r="B14" s="10" t="s">
        <v>14</v>
      </c>
      <c r="C14" s="10">
        <v>50</v>
      </c>
      <c r="D14" s="10">
        <v>10</v>
      </c>
    </row>
    <row r="15" spans="1:11" x14ac:dyDescent="0.25">
      <c r="B15" s="10" t="s">
        <v>21</v>
      </c>
      <c r="C15" s="10">
        <v>45</v>
      </c>
      <c r="D15" s="10">
        <v>8</v>
      </c>
    </row>
    <row r="16" spans="1:11" x14ac:dyDescent="0.25">
      <c r="B16" s="10" t="s">
        <v>19</v>
      </c>
      <c r="C16" s="10">
        <v>60</v>
      </c>
      <c r="D16" s="10">
        <v>12</v>
      </c>
    </row>
    <row r="17" spans="2:4" x14ac:dyDescent="0.25">
      <c r="B17" s="10" t="s">
        <v>12</v>
      </c>
      <c r="C17" s="10">
        <v>50</v>
      </c>
      <c r="D17" s="10">
        <v>10</v>
      </c>
    </row>
    <row r="18" spans="2:4" x14ac:dyDescent="0.25">
      <c r="B18" s="10" t="s">
        <v>17</v>
      </c>
      <c r="C18" s="10">
        <v>70</v>
      </c>
      <c r="D18" s="10">
        <v>15</v>
      </c>
    </row>
  </sheetData>
  <mergeCells count="2">
    <mergeCell ref="A1:J1"/>
    <mergeCell ref="B12:D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workbookViewId="0">
      <selection activeCell="A2" sqref="A2"/>
    </sheetView>
  </sheetViews>
  <sheetFormatPr defaultColWidth="9.140625" defaultRowHeight="15" x14ac:dyDescent="0.25"/>
  <cols>
    <col min="1" max="1" width="10.7109375" style="1" customWidth="1"/>
    <col min="2" max="2" width="12.28515625" style="1" customWidth="1"/>
    <col min="3" max="3" width="11.85546875" style="1" customWidth="1"/>
    <col min="4" max="5" width="9.140625" style="1"/>
    <col min="6" max="6" width="12" style="1" customWidth="1"/>
    <col min="7" max="8" width="9.140625" style="1"/>
    <col min="9" max="9" width="11" style="1" customWidth="1"/>
    <col min="10" max="16384" width="9.140625" style="1"/>
  </cols>
  <sheetData>
    <row r="1" spans="1:10" ht="29.25" customHeight="1" thickBot="1" x14ac:dyDescent="0.3">
      <c r="A1" s="51" t="s">
        <v>91</v>
      </c>
      <c r="B1" s="52"/>
      <c r="C1" s="52"/>
      <c r="D1" s="52"/>
      <c r="E1" s="52"/>
      <c r="F1" s="52"/>
      <c r="G1" s="52"/>
      <c r="H1" s="53"/>
      <c r="I1" s="16"/>
    </row>
    <row r="2" spans="1:10" ht="33" customHeight="1" x14ac:dyDescent="0.25">
      <c r="A2" s="36" t="s">
        <v>25</v>
      </c>
      <c r="B2" s="37" t="s">
        <v>28</v>
      </c>
      <c r="C2" s="37" t="s">
        <v>29</v>
      </c>
      <c r="D2" s="37" t="s">
        <v>30</v>
      </c>
      <c r="E2" s="37" t="s">
        <v>31</v>
      </c>
      <c r="F2" s="37" t="s">
        <v>32</v>
      </c>
      <c r="G2" s="37" t="s">
        <v>33</v>
      </c>
      <c r="H2" s="38" t="s">
        <v>34</v>
      </c>
      <c r="I2" s="2"/>
    </row>
    <row r="3" spans="1:10" s="35" customFormat="1" ht="15.75" customHeight="1" x14ac:dyDescent="0.25">
      <c r="A3" s="29" t="s">
        <v>35</v>
      </c>
      <c r="B3" s="30">
        <v>40308</v>
      </c>
      <c r="C3" s="30">
        <v>40350</v>
      </c>
      <c r="D3" s="31"/>
      <c r="E3" s="32">
        <v>2</v>
      </c>
      <c r="F3" s="32"/>
      <c r="G3" s="32"/>
      <c r="H3" s="33"/>
      <c r="I3" s="34"/>
    </row>
    <row r="4" spans="1:10" s="35" customFormat="1" ht="15.75" customHeight="1" x14ac:dyDescent="0.25">
      <c r="A4" s="29" t="s">
        <v>36</v>
      </c>
      <c r="B4" s="30">
        <v>40382</v>
      </c>
      <c r="C4" s="30">
        <v>40401</v>
      </c>
      <c r="D4" s="31"/>
      <c r="E4" s="32">
        <v>1</v>
      </c>
      <c r="F4" s="32"/>
      <c r="G4" s="32"/>
      <c r="H4" s="33"/>
      <c r="I4" s="34"/>
    </row>
    <row r="5" spans="1:10" s="35" customFormat="1" ht="15.75" customHeight="1" x14ac:dyDescent="0.25">
      <c r="A5" s="29" t="s">
        <v>35</v>
      </c>
      <c r="B5" s="30">
        <v>40341</v>
      </c>
      <c r="C5" s="30">
        <v>40348</v>
      </c>
      <c r="D5" s="31"/>
      <c r="E5" s="32">
        <v>2</v>
      </c>
      <c r="F5" s="32"/>
      <c r="G5" s="32"/>
      <c r="H5" s="33"/>
      <c r="I5" s="34"/>
    </row>
    <row r="6" spans="1:10" s="35" customFormat="1" ht="15.75" customHeight="1" x14ac:dyDescent="0.25">
      <c r="A6" s="29" t="s">
        <v>36</v>
      </c>
      <c r="B6" s="30">
        <v>40324</v>
      </c>
      <c r="C6" s="30">
        <v>40336</v>
      </c>
      <c r="D6" s="31"/>
      <c r="E6" s="32">
        <v>3</v>
      </c>
      <c r="F6" s="32"/>
      <c r="G6" s="32"/>
      <c r="H6" s="33"/>
      <c r="I6" s="34"/>
    </row>
    <row r="7" spans="1:10" s="35" customFormat="1" ht="15.75" customHeight="1" x14ac:dyDescent="0.25">
      <c r="A7" s="29" t="s">
        <v>37</v>
      </c>
      <c r="B7" s="30">
        <v>40409</v>
      </c>
      <c r="C7" s="30">
        <v>40415</v>
      </c>
      <c r="D7" s="31"/>
      <c r="E7" s="32">
        <v>1</v>
      </c>
      <c r="F7" s="32"/>
      <c r="G7" s="32"/>
      <c r="H7" s="33"/>
      <c r="I7" s="34"/>
      <c r="J7" s="35">
        <f>H3+H5+H8+H10</f>
        <v>0</v>
      </c>
    </row>
    <row r="8" spans="1:10" s="35" customFormat="1" ht="15.75" customHeight="1" x14ac:dyDescent="0.25">
      <c r="A8" s="29" t="s">
        <v>35</v>
      </c>
      <c r="B8" s="30">
        <v>40402</v>
      </c>
      <c r="C8" s="30">
        <v>40412</v>
      </c>
      <c r="D8" s="31"/>
      <c r="E8" s="32">
        <v>4</v>
      </c>
      <c r="F8" s="32"/>
      <c r="G8" s="32"/>
      <c r="H8" s="33"/>
      <c r="I8" s="34"/>
    </row>
    <row r="9" spans="1:10" s="35" customFormat="1" ht="15.75" customHeight="1" x14ac:dyDescent="0.25">
      <c r="A9" s="29" t="s">
        <v>36</v>
      </c>
      <c r="B9" s="30">
        <v>40448</v>
      </c>
      <c r="C9" s="30">
        <v>40464</v>
      </c>
      <c r="D9" s="31"/>
      <c r="E9" s="32">
        <v>1</v>
      </c>
      <c r="F9" s="32"/>
      <c r="G9" s="32"/>
      <c r="H9" s="33"/>
      <c r="I9" s="34"/>
    </row>
    <row r="10" spans="1:10" s="35" customFormat="1" ht="15.75" customHeight="1" x14ac:dyDescent="0.25">
      <c r="A10" s="29" t="s">
        <v>35</v>
      </c>
      <c r="B10" s="30">
        <v>40506</v>
      </c>
      <c r="C10" s="30">
        <v>40538</v>
      </c>
      <c r="D10" s="31"/>
      <c r="E10" s="32">
        <v>3</v>
      </c>
      <c r="F10" s="32"/>
      <c r="G10" s="32"/>
      <c r="H10" s="33"/>
      <c r="I10" s="34"/>
    </row>
    <row r="11" spans="1:10" s="6" customFormat="1" ht="15.75" customHeight="1" x14ac:dyDescent="0.25">
      <c r="A11" s="28" t="s">
        <v>36</v>
      </c>
      <c r="B11" s="17">
        <v>40532</v>
      </c>
      <c r="C11" s="17">
        <v>40543</v>
      </c>
      <c r="D11" s="18"/>
      <c r="E11" s="4">
        <v>2</v>
      </c>
      <c r="F11" s="4"/>
      <c r="G11" s="4"/>
      <c r="H11" s="5"/>
      <c r="I11" s="19"/>
    </row>
    <row r="12" spans="1:10" s="6" customFormat="1" ht="15.75" customHeight="1" thickBot="1" x14ac:dyDescent="0.3">
      <c r="A12" s="20" t="s">
        <v>37</v>
      </c>
      <c r="B12" s="21">
        <v>40509</v>
      </c>
      <c r="C12" s="21">
        <v>40538</v>
      </c>
      <c r="D12" s="39"/>
      <c r="E12" s="7">
        <v>4</v>
      </c>
      <c r="F12" s="7"/>
      <c r="G12" s="7"/>
      <c r="H12" s="23"/>
      <c r="I12" s="19"/>
    </row>
    <row r="13" spans="1:10" ht="15.75" thickBot="1" x14ac:dyDescent="0.3"/>
    <row r="14" spans="1:10" s="6" customFormat="1" ht="17.25" customHeight="1" x14ac:dyDescent="0.25">
      <c r="A14" s="54" t="s">
        <v>38</v>
      </c>
      <c r="B14" s="55"/>
      <c r="C14" s="55"/>
      <c r="D14" s="56"/>
      <c r="F14" s="54" t="s">
        <v>39</v>
      </c>
      <c r="G14" s="55"/>
      <c r="H14" s="55"/>
      <c r="I14" s="56"/>
    </row>
    <row r="15" spans="1:10" s="6" customFormat="1" ht="17.25" customHeight="1" x14ac:dyDescent="0.25">
      <c r="A15" s="3"/>
      <c r="B15" s="4" t="s">
        <v>35</v>
      </c>
      <c r="C15" s="4" t="s">
        <v>36</v>
      </c>
      <c r="D15" s="5" t="s">
        <v>37</v>
      </c>
      <c r="F15" s="3" t="s">
        <v>40</v>
      </c>
      <c r="G15" s="4" t="s">
        <v>35</v>
      </c>
      <c r="H15" s="4" t="s">
        <v>36</v>
      </c>
      <c r="I15" s="5" t="s">
        <v>37</v>
      </c>
    </row>
    <row r="16" spans="1:10" s="6" customFormat="1" ht="17.25" customHeight="1" thickBot="1" x14ac:dyDescent="0.3">
      <c r="A16" s="3" t="s">
        <v>41</v>
      </c>
      <c r="B16" s="4">
        <v>80</v>
      </c>
      <c r="C16" s="4">
        <v>60</v>
      </c>
      <c r="D16" s="5">
        <v>40</v>
      </c>
      <c r="F16" s="22" t="s">
        <v>42</v>
      </c>
      <c r="G16" s="7"/>
      <c r="H16" s="7"/>
      <c r="I16" s="7"/>
    </row>
    <row r="17" spans="1:9" s="6" customFormat="1" x14ac:dyDescent="0.25">
      <c r="A17" s="3" t="s">
        <v>43</v>
      </c>
      <c r="B17" s="4">
        <v>120</v>
      </c>
      <c r="C17" s="4">
        <v>90</v>
      </c>
      <c r="D17" s="5">
        <v>60</v>
      </c>
    </row>
    <row r="18" spans="1:9" s="6" customFormat="1" ht="15.75" thickBot="1" x14ac:dyDescent="0.3">
      <c r="A18" s="22" t="s">
        <v>44</v>
      </c>
      <c r="B18" s="7">
        <v>30</v>
      </c>
      <c r="C18" s="7">
        <v>20</v>
      </c>
      <c r="D18" s="23">
        <v>10</v>
      </c>
    </row>
    <row r="20" spans="1:9" s="6" customFormat="1" x14ac:dyDescent="0.25">
      <c r="A20" s="24" t="s">
        <v>0</v>
      </c>
      <c r="B20" s="25"/>
      <c r="C20" s="24"/>
      <c r="D20" s="24"/>
      <c r="E20" s="25"/>
      <c r="F20" s="25"/>
      <c r="G20" s="25"/>
      <c r="H20" s="25"/>
      <c r="I20" s="25"/>
    </row>
    <row r="21" spans="1:9" s="6" customFormat="1" x14ac:dyDescent="0.25">
      <c r="A21" s="25" t="s">
        <v>45</v>
      </c>
      <c r="B21" s="25"/>
      <c r="C21" s="25"/>
      <c r="D21" s="25"/>
      <c r="E21" s="25"/>
      <c r="F21" s="25"/>
      <c r="G21" s="25"/>
      <c r="H21" s="25"/>
      <c r="I21" s="25"/>
    </row>
    <row r="22" spans="1:9" s="6" customFormat="1" x14ac:dyDescent="0.25">
      <c r="A22" s="25" t="s">
        <v>46</v>
      </c>
      <c r="B22" s="26"/>
      <c r="C22" s="26"/>
      <c r="D22" s="27"/>
      <c r="E22" s="25"/>
      <c r="F22" s="25"/>
      <c r="G22" s="25"/>
      <c r="H22" s="25"/>
      <c r="I22" s="25"/>
    </row>
    <row r="23" spans="1:9" s="6" customFormat="1" x14ac:dyDescent="0.25">
      <c r="A23" s="25" t="s">
        <v>47</v>
      </c>
      <c r="B23" s="25"/>
      <c r="C23" s="25"/>
      <c r="D23" s="25"/>
      <c r="E23" s="25"/>
      <c r="F23" s="25"/>
      <c r="G23" s="25"/>
      <c r="H23" s="25"/>
      <c r="I23" s="25"/>
    </row>
    <row r="24" spans="1:9" s="6" customFormat="1" x14ac:dyDescent="0.25">
      <c r="A24" s="25" t="s">
        <v>48</v>
      </c>
      <c r="B24" s="25"/>
      <c r="C24" s="25"/>
      <c r="D24" s="25"/>
      <c r="E24" s="25"/>
      <c r="F24" s="25"/>
      <c r="G24" s="25"/>
      <c r="H24" s="25"/>
      <c r="I24" s="25"/>
    </row>
    <row r="25" spans="1:9" s="6" customFormat="1" x14ac:dyDescent="0.25">
      <c r="A25" s="25" t="s">
        <v>49</v>
      </c>
      <c r="B25" s="25"/>
      <c r="C25" s="25"/>
      <c r="D25" s="25"/>
      <c r="E25" s="25"/>
      <c r="F25" s="25"/>
      <c r="G25" s="25"/>
      <c r="H25" s="25"/>
      <c r="I25" s="25"/>
    </row>
    <row r="26" spans="1:9" s="6" customFormat="1" x14ac:dyDescent="0.25">
      <c r="A26" s="25" t="s">
        <v>50</v>
      </c>
      <c r="B26" s="25"/>
      <c r="C26" s="25"/>
      <c r="D26" s="25"/>
      <c r="E26" s="25"/>
      <c r="F26" s="25"/>
      <c r="G26" s="25"/>
      <c r="H26" s="25"/>
      <c r="I26" s="25"/>
    </row>
    <row r="27" spans="1:9" s="6" customFormat="1" x14ac:dyDescent="0.25">
      <c r="A27" s="25" t="s">
        <v>51</v>
      </c>
      <c r="B27" s="25"/>
      <c r="C27" s="25"/>
      <c r="D27" s="25"/>
      <c r="E27" s="25"/>
      <c r="F27" s="25"/>
      <c r="G27" s="25"/>
      <c r="H27" s="25"/>
      <c r="I27" s="25"/>
    </row>
    <row r="28" spans="1:9" s="6" customFormat="1" x14ac:dyDescent="0.25">
      <c r="A28" s="25" t="s">
        <v>52</v>
      </c>
      <c r="B28" s="25"/>
      <c r="C28" s="25"/>
      <c r="D28" s="25"/>
      <c r="E28" s="25"/>
      <c r="F28" s="25"/>
      <c r="G28" s="25"/>
      <c r="H28" s="25"/>
      <c r="I28" s="25"/>
    </row>
    <row r="29" spans="1:9" s="6" customFormat="1" x14ac:dyDescent="0.25">
      <c r="A29" s="25" t="s">
        <v>53</v>
      </c>
      <c r="B29" s="25"/>
      <c r="C29" s="25"/>
      <c r="D29" s="25"/>
      <c r="E29" s="25"/>
      <c r="F29" s="25"/>
      <c r="G29" s="25"/>
      <c r="H29" s="25"/>
      <c r="I29" s="25"/>
    </row>
  </sheetData>
  <mergeCells count="3">
    <mergeCell ref="A1:H1"/>
    <mergeCell ref="A14:D14"/>
    <mergeCell ref="F14:I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tabSelected="1" zoomScale="130" zoomScaleNormal="130" workbookViewId="0">
      <selection activeCell="A3" sqref="A3"/>
    </sheetView>
  </sheetViews>
  <sheetFormatPr defaultRowHeight="15" x14ac:dyDescent="0.25"/>
  <cols>
    <col min="1" max="1" width="8.28515625" customWidth="1"/>
    <col min="2" max="2" width="16.42578125" customWidth="1"/>
    <col min="5" max="5" width="18.28515625" customWidth="1"/>
  </cols>
  <sheetData>
    <row r="1" spans="1:8" x14ac:dyDescent="0.25">
      <c r="A1" s="57" t="s">
        <v>92</v>
      </c>
      <c r="B1" s="57"/>
      <c r="C1" s="57"/>
      <c r="D1" s="57"/>
      <c r="E1" s="57"/>
      <c r="F1" s="57"/>
      <c r="G1" s="57"/>
      <c r="H1" s="57"/>
    </row>
    <row r="2" spans="1:8" x14ac:dyDescent="0.25">
      <c r="A2" s="57"/>
      <c r="B2" s="57"/>
      <c r="C2" s="57"/>
      <c r="D2" s="57"/>
      <c r="E2" s="57"/>
      <c r="F2" s="57"/>
      <c r="G2" s="57"/>
      <c r="H2" s="57"/>
    </row>
    <row r="3" spans="1:8" ht="30" x14ac:dyDescent="0.25">
      <c r="A3" s="8" t="s">
        <v>54</v>
      </c>
      <c r="B3" s="8" t="s">
        <v>55</v>
      </c>
      <c r="C3" s="8" t="s">
        <v>56</v>
      </c>
      <c r="D3" s="9" t="s">
        <v>57</v>
      </c>
      <c r="E3" s="9" t="s">
        <v>58</v>
      </c>
      <c r="F3" s="9" t="s">
        <v>59</v>
      </c>
      <c r="G3" s="9" t="s">
        <v>60</v>
      </c>
      <c r="H3" s="9" t="s">
        <v>61</v>
      </c>
    </row>
    <row r="4" spans="1:8" x14ac:dyDescent="0.25">
      <c r="A4" s="10" t="s">
        <v>62</v>
      </c>
      <c r="B4" s="10" t="s">
        <v>63</v>
      </c>
      <c r="C4" s="10" t="s">
        <v>64</v>
      </c>
      <c r="D4" s="10">
        <v>1989</v>
      </c>
      <c r="E4" s="10"/>
      <c r="F4" s="40"/>
      <c r="G4" s="41">
        <v>0.3888888888888889</v>
      </c>
      <c r="H4" s="40"/>
    </row>
    <row r="5" spans="1:8" x14ac:dyDescent="0.25">
      <c r="A5" s="10" t="s">
        <v>65</v>
      </c>
      <c r="B5" s="10" t="s">
        <v>66</v>
      </c>
      <c r="C5" s="10" t="s">
        <v>64</v>
      </c>
      <c r="D5" s="10">
        <v>1980</v>
      </c>
      <c r="E5" s="10"/>
      <c r="F5" s="40"/>
      <c r="G5" s="41">
        <v>0.40486111111111112</v>
      </c>
      <c r="H5" s="40"/>
    </row>
    <row r="6" spans="1:8" x14ac:dyDescent="0.25">
      <c r="A6" s="10" t="s">
        <v>67</v>
      </c>
      <c r="B6" s="10" t="s">
        <v>68</v>
      </c>
      <c r="C6" s="10" t="s">
        <v>64</v>
      </c>
      <c r="D6" s="10">
        <v>1990</v>
      </c>
      <c r="E6" s="10"/>
      <c r="F6" s="40"/>
      <c r="G6" s="41">
        <v>0.41111111111111115</v>
      </c>
      <c r="H6" s="40"/>
    </row>
    <row r="7" spans="1:8" x14ac:dyDescent="0.25">
      <c r="A7" s="10" t="s">
        <v>69</v>
      </c>
      <c r="B7" s="10" t="s">
        <v>70</v>
      </c>
      <c r="C7" s="10" t="s">
        <v>64</v>
      </c>
      <c r="D7" s="10">
        <v>1982</v>
      </c>
      <c r="E7" s="10"/>
      <c r="F7" s="40"/>
      <c r="G7" s="41">
        <v>0.37291666666666662</v>
      </c>
      <c r="H7" s="40"/>
    </row>
    <row r="8" spans="1:8" x14ac:dyDescent="0.25">
      <c r="A8" s="10" t="s">
        <v>71</v>
      </c>
      <c r="B8" s="10" t="s">
        <v>72</v>
      </c>
      <c r="C8" s="10" t="s">
        <v>64</v>
      </c>
      <c r="D8" s="10">
        <v>1975</v>
      </c>
      <c r="E8" s="10"/>
      <c r="F8" s="40"/>
      <c r="G8" s="41">
        <v>0.37847222222222227</v>
      </c>
      <c r="H8" s="40"/>
    </row>
    <row r="9" spans="1:8" x14ac:dyDescent="0.25">
      <c r="A9" s="10" t="s">
        <v>73</v>
      </c>
      <c r="B9" s="10" t="s">
        <v>74</v>
      </c>
      <c r="C9" s="10" t="s">
        <v>75</v>
      </c>
      <c r="D9" s="10">
        <v>1988</v>
      </c>
      <c r="E9" s="10"/>
      <c r="F9" s="40"/>
      <c r="G9" s="41">
        <v>0.36736111111111108</v>
      </c>
      <c r="H9" s="40"/>
    </row>
    <row r="10" spans="1:8" x14ac:dyDescent="0.25">
      <c r="A10" s="10" t="s">
        <v>76</v>
      </c>
      <c r="B10" s="10" t="s">
        <v>77</v>
      </c>
      <c r="C10" s="10" t="s">
        <v>75</v>
      </c>
      <c r="D10" s="10">
        <v>1985</v>
      </c>
      <c r="E10" s="10"/>
      <c r="F10" s="40"/>
      <c r="G10" s="41">
        <v>0.38194444444444442</v>
      </c>
      <c r="H10" s="40"/>
    </row>
    <row r="11" spans="1:8" x14ac:dyDescent="0.25">
      <c r="A11" s="10" t="s">
        <v>78</v>
      </c>
      <c r="B11" s="10" t="s">
        <v>79</v>
      </c>
      <c r="C11" s="10" t="s">
        <v>75</v>
      </c>
      <c r="D11" s="10">
        <v>1987</v>
      </c>
      <c r="E11" s="10"/>
      <c r="F11" s="40"/>
      <c r="G11" s="41">
        <v>0.3833333333333333</v>
      </c>
      <c r="H11" s="40"/>
    </row>
    <row r="12" spans="1:8" x14ac:dyDescent="0.25">
      <c r="A12" s="10" t="s">
        <v>80</v>
      </c>
      <c r="B12" s="10" t="s">
        <v>81</v>
      </c>
      <c r="C12" s="10" t="s">
        <v>75</v>
      </c>
      <c r="D12" s="10">
        <v>1985</v>
      </c>
      <c r="E12" s="10"/>
      <c r="F12" s="40"/>
      <c r="G12" s="41">
        <v>0.42083333333333334</v>
      </c>
      <c r="H12" s="40"/>
    </row>
    <row r="13" spans="1:8" x14ac:dyDescent="0.25">
      <c r="A13" s="42"/>
      <c r="B13" s="42"/>
      <c r="C13" s="42"/>
      <c r="D13" s="42"/>
      <c r="E13" s="42"/>
      <c r="F13" s="42"/>
      <c r="G13" s="42"/>
      <c r="H13" s="42"/>
    </row>
    <row r="14" spans="1:8" x14ac:dyDescent="0.25">
      <c r="A14" s="42"/>
      <c r="B14" s="42"/>
      <c r="C14" s="42"/>
      <c r="D14" s="42"/>
      <c r="E14" s="42"/>
      <c r="F14" s="42"/>
      <c r="G14" s="42"/>
      <c r="H14" s="42"/>
    </row>
    <row r="15" spans="1:8" x14ac:dyDescent="0.25">
      <c r="A15" s="58" t="s">
        <v>82</v>
      </c>
      <c r="B15" s="58"/>
      <c r="C15" s="43" t="s">
        <v>75</v>
      </c>
      <c r="D15" s="43" t="s">
        <v>64</v>
      </c>
      <c r="E15" s="42"/>
      <c r="F15" s="59" t="s">
        <v>83</v>
      </c>
      <c r="G15" s="59"/>
      <c r="H15" s="59"/>
    </row>
    <row r="16" spans="1:8" x14ac:dyDescent="0.25">
      <c r="A16" s="44" t="s">
        <v>84</v>
      </c>
      <c r="B16" s="44" t="s">
        <v>85</v>
      </c>
      <c r="C16" s="45">
        <v>0.25</v>
      </c>
      <c r="D16" s="45">
        <v>0.27083333333333331</v>
      </c>
      <c r="E16" s="42"/>
      <c r="F16" s="46"/>
      <c r="G16" s="46" t="s">
        <v>86</v>
      </c>
      <c r="H16" s="46" t="s">
        <v>87</v>
      </c>
    </row>
    <row r="17" spans="1:8" x14ac:dyDescent="0.25">
      <c r="A17" s="44" t="s">
        <v>36</v>
      </c>
      <c r="B17" s="44" t="s">
        <v>88</v>
      </c>
      <c r="C17" s="45">
        <v>0.29166666666666669</v>
      </c>
      <c r="D17" s="45">
        <v>0.3125</v>
      </c>
      <c r="E17" s="42"/>
      <c r="F17" s="46" t="s">
        <v>64</v>
      </c>
      <c r="G17" s="47"/>
      <c r="H17" s="47"/>
    </row>
    <row r="18" spans="1:8" x14ac:dyDescent="0.25">
      <c r="A18" s="44" t="s">
        <v>37</v>
      </c>
      <c r="B18" s="44" t="s">
        <v>89</v>
      </c>
      <c r="C18" s="45">
        <v>0.35416666666666669</v>
      </c>
      <c r="D18" s="45">
        <v>0.375</v>
      </c>
      <c r="E18" s="42"/>
      <c r="F18" s="46" t="s">
        <v>75</v>
      </c>
      <c r="G18" s="47"/>
      <c r="H18" s="47"/>
    </row>
    <row r="19" spans="1:8" x14ac:dyDescent="0.25">
      <c r="A19" s="10"/>
      <c r="B19" s="10"/>
      <c r="C19" s="10"/>
      <c r="D19" s="48"/>
      <c r="E19" s="42"/>
      <c r="F19" s="42"/>
      <c r="G19" s="42"/>
      <c r="H19" s="42"/>
    </row>
  </sheetData>
  <mergeCells count="3">
    <mergeCell ref="A1:H2"/>
    <mergeCell ref="A15:B15"/>
    <mergeCell ref="F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17</vt:lpstr>
      <vt:lpstr>18</vt:lpstr>
      <vt:lpstr>19</vt:lpstr>
    </vt:vector>
  </TitlesOfParts>
  <Company>CaoThangIT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Thang</dc:creator>
  <cp:lastModifiedBy>SV</cp:lastModifiedBy>
  <dcterms:created xsi:type="dcterms:W3CDTF">2016-06-22T06:11:19Z</dcterms:created>
  <dcterms:modified xsi:type="dcterms:W3CDTF">2026-10-12T11:54:13Z</dcterms:modified>
</cp:coreProperties>
</file>