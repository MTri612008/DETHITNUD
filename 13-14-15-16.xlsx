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MonHoc\THUD\BT_Excel\"/>
    </mc:Choice>
  </mc:AlternateContent>
  <bookViews>
    <workbookView xWindow="120" yWindow="948" windowWidth="17052" windowHeight="9408" activeTab="3"/>
  </bookViews>
  <sheets>
    <sheet name="13" sheetId="1" r:id="rId1"/>
    <sheet name="14" sheetId="2" r:id="rId2"/>
    <sheet name="15" sheetId="4" r:id="rId3"/>
    <sheet name="16" sheetId="5" r:id="rId4"/>
  </sheets>
  <calcPr calcId="162913"/>
</workbook>
</file>

<file path=xl/calcChain.xml><?xml version="1.0" encoding="utf-8"?>
<calcChain xmlns="http://schemas.openxmlformats.org/spreadsheetml/2006/main">
  <c r="G4" i="1" l="1"/>
  <c r="G5" i="1"/>
  <c r="G6" i="1"/>
  <c r="G7" i="1"/>
  <c r="G8" i="1"/>
  <c r="G9" i="1"/>
  <c r="G3" i="1"/>
</calcChain>
</file>

<file path=xl/sharedStrings.xml><?xml version="1.0" encoding="utf-8"?>
<sst xmlns="http://schemas.openxmlformats.org/spreadsheetml/2006/main" count="179" uniqueCount="144">
  <si>
    <t>STT</t>
  </si>
  <si>
    <t>HỌ TÊN</t>
  </si>
  <si>
    <t>WIN</t>
  </si>
  <si>
    <t>WORD</t>
  </si>
  <si>
    <t>EXCEL</t>
  </si>
  <si>
    <t>ĐIỂM TB</t>
  </si>
  <si>
    <t>XẾP HẠNG</t>
  </si>
  <si>
    <t>XẾP LOẠI</t>
  </si>
  <si>
    <t>Nguyễn</t>
  </si>
  <si>
    <t>An</t>
  </si>
  <si>
    <t>Trần Văn</t>
  </si>
  <si>
    <t>Bảo</t>
  </si>
  <si>
    <t>Lê Thanh</t>
  </si>
  <si>
    <t>Hảo</t>
  </si>
  <si>
    <t>Phan Văn</t>
  </si>
  <si>
    <t>Việt</t>
  </si>
  <si>
    <t>Hùng</t>
  </si>
  <si>
    <t>Võ Thanh</t>
  </si>
  <si>
    <t>Hằng</t>
  </si>
  <si>
    <t>Lý Văn</t>
  </si>
  <si>
    <t>Thành</t>
  </si>
  <si>
    <t>Số học viên đạt &gt;=5</t>
  </si>
  <si>
    <t>Số học viên không đạt &lt; 5</t>
  </si>
  <si>
    <t>Yêu Cầu</t>
  </si>
  <si>
    <t>1. Tính cột Điểm TB là trung bình cộng của 3 môn WIN, WORD, EXCEL và làm tròn đến 1 số lẻ thập phân.</t>
  </si>
  <si>
    <t>2. Tính cột Xếp Hạng dựa vào cột Điểm TB</t>
  </si>
  <si>
    <t>3. Tính cột Xếp Loại căn cứ vào Điểm TB như sau:</t>
  </si>
  <si>
    <t>- Từ 9 trở lên: Giỏi</t>
  </si>
  <si>
    <t>- Từ 7 đến nhỏ hơn 9 : Khá</t>
  </si>
  <si>
    <t>- Từ 5 đến nhỏ hơn 7: Trung bình</t>
  </si>
  <si>
    <t>- Dưới 5: Kém</t>
  </si>
  <si>
    <t>4. Dùng hàm COUNTIF để đếm số học viên đạt và không đạt theo từng môn.</t>
  </si>
  <si>
    <t>5. Kẻ khung cho bảng tính.</t>
  </si>
  <si>
    <t>ĐỘI</t>
  </si>
  <si>
    <t>XUẤT PHÁT</t>
  </si>
  <si>
    <t>VỀ ĐÍCH</t>
  </si>
  <si>
    <t>THÀNH TÍCH</t>
  </si>
  <si>
    <t>Trần Tấn Tài</t>
  </si>
  <si>
    <t>An Giang</t>
  </si>
  <si>
    <t>Lê Văn Toàn</t>
  </si>
  <si>
    <t>Võ Thế Bảo</t>
  </si>
  <si>
    <t>KS Tân Bình</t>
  </si>
  <si>
    <t>Lê Minh Tâm</t>
  </si>
  <si>
    <t>Vũ Thành Linh</t>
  </si>
  <si>
    <t>Võ Thanh Tâm</t>
  </si>
  <si>
    <t>Đồng Tháp</t>
  </si>
  <si>
    <t>Trần Văn Lộc</t>
  </si>
  <si>
    <t>Lê Ngọc Thủy</t>
  </si>
  <si>
    <t>Thành tích cá nhân</t>
  </si>
  <si>
    <t>Cao Nhất</t>
  </si>
  <si>
    <t>Trung Bình</t>
  </si>
  <si>
    <t>Thấp Nhất</t>
  </si>
  <si>
    <t>Thành tích toàn đội</t>
  </si>
  <si>
    <t>+ Tổng số giờ toàn đội:</t>
  </si>
  <si>
    <t>+ Xếp hạng đội đua</t>
  </si>
  <si>
    <t>YÊU CẦU</t>
  </si>
  <si>
    <t>1. Điền số thứ tự.
2. Tính Thành tích = Về đích - Xuất phát
3. Tính cột Xếp hạng dựa vào thành tích
4. Tính thành tích cá nhân cao nhất, trung bình, thấp nhất
5. Tính tổng số giờ theo từng đội
6. Tính xếp hạng đội đua theo tổng số giờ của đội.</t>
  </si>
  <si>
    <t>TÊN NV</t>
  </si>
  <si>
    <t>Bình</t>
  </si>
  <si>
    <t>PHÁI</t>
  </si>
  <si>
    <t>NSINH</t>
  </si>
  <si>
    <t>TOÁN</t>
  </si>
  <si>
    <t>VĂN</t>
  </si>
  <si>
    <t>SNGỮ</t>
  </si>
  <si>
    <t>ĐTB</t>
  </si>
  <si>
    <t>ĐTHÊM</t>
  </si>
  <si>
    <t>ĐKQ</t>
  </si>
  <si>
    <t>GHI CHÚ</t>
  </si>
  <si>
    <t>NAM</t>
  </si>
  <si>
    <t>NỮ</t>
  </si>
  <si>
    <t xml:space="preserve">Điểm trung bình </t>
  </si>
  <si>
    <t>Điểm cao nhất</t>
  </si>
  <si>
    <t xml:space="preserve">Điểm thấp nhất </t>
  </si>
  <si>
    <t>1.    Điểm trung bình (ĐTB) = (TOÁN*3 + VĂN + SNGỮ*2)/6, làm tròn 2 số lẻ.</t>
  </si>
  <si>
    <t>2.    Điểm thêm (ĐTHÊM): Nếu ĐTB&lt;10 thì thêm như sau:</t>
  </si>
  <si>
    <t xml:space="preserve">   - Nếu NSINH&lt;1970 thì thêm 0.75 điểm</t>
  </si>
  <si>
    <t xml:space="preserve">   - Ngược lại và nếu là phái Nữ thì thêm 0.5 điểm</t>
  </si>
  <si>
    <t>3.    Điểm kết quả (ĐKQ): Nếu điểm thêm = 0 thì ĐKQ chính là ĐTB, ngược lại thì</t>
  </si>
  <si>
    <t xml:space="preserve">    ĐKQ = ĐTB + ĐTHÊM, nhưng cộng không được vượt qua 10</t>
  </si>
  <si>
    <t>4.    Điền vào cột GHI CHÚ dựa vào cột ĐKQ như sau:</t>
  </si>
  <si>
    <t xml:space="preserve">   - ĐKQ dưới 10</t>
  </si>
  <si>
    <t>:</t>
  </si>
  <si>
    <t>Không đạt</t>
  </si>
  <si>
    <t xml:space="preserve">   - ĐKQ từ 10 đến dưới 12</t>
  </si>
  <si>
    <t>Thứ</t>
  </si>
  <si>
    <t xml:space="preserve">   - ĐKQ từ 12 đến dưới 14</t>
  </si>
  <si>
    <t>Bình thứ</t>
  </si>
  <si>
    <t xml:space="preserve">   - ĐKQ từ 14 đến dưới 16</t>
  </si>
  <si>
    <t xml:space="preserve">   - ĐKQ từ 16 đến dưới 18</t>
  </si>
  <si>
    <t>Ưu</t>
  </si>
  <si>
    <t xml:space="preserve">   - ĐKQ từ 18 trở lên</t>
  </si>
  <si>
    <t>Tối ưu</t>
  </si>
  <si>
    <t>5. Tính điểm trung bình, cao nhất, thấp nhất cho từng cột điểm: TOÁN, VĂN, SNGỮ</t>
  </si>
  <si>
    <t>BÀI 13: KẾT QUẢ KIỂM TRA CUỐI KHOÁ</t>
  </si>
  <si>
    <t>BÀI 14: KẾT QUẢ GIẢI ĐUA XE ĐẠP CÚP TRUYỀN HÌNH - 2007</t>
  </si>
  <si>
    <t>Vũ  Xuân An</t>
  </si>
  <si>
    <t>HÙNG</t>
  </si>
  <si>
    <t>PHƯỚC</t>
  </si>
  <si>
    <t>HẢI</t>
  </si>
  <si>
    <t>BÌNH</t>
  </si>
  <si>
    <t>THIỀU</t>
  </si>
  <si>
    <t>THI</t>
  </si>
  <si>
    <t>THANH</t>
  </si>
  <si>
    <t>LAN</t>
  </si>
  <si>
    <t xml:space="preserve">HUỆ </t>
  </si>
  <si>
    <t>HÀ</t>
  </si>
  <si>
    <t>BÀI 15: KẾT QUẢ THI CUỐI KHOÁ</t>
  </si>
  <si>
    <t xml:space="preserve">BÀI 16: BÁO CÁO PHÂN PHỐI NHIÊN LIỆU </t>
  </si>
  <si>
    <t>Bảng giá</t>
  </si>
  <si>
    <t>KDOANH</t>
  </si>
  <si>
    <t>CCẤP</t>
  </si>
  <si>
    <t>XĂNG</t>
  </si>
  <si>
    <t>GASOIL</t>
  </si>
  <si>
    <t>DẦU LỬA</t>
  </si>
  <si>
    <t>CHỨNG
TỪ</t>
  </si>
  <si>
    <t>ĐƠN VỊ
NHẬN</t>
  </si>
  <si>
    <t>SỐ
LƯỢNG</t>
  </si>
  <si>
    <t>SLG</t>
  </si>
  <si>
    <t>TTN</t>
  </si>
  <si>
    <t>X001C</t>
  </si>
  <si>
    <t>C.ty A</t>
  </si>
  <si>
    <t>G001K</t>
  </si>
  <si>
    <t>XN Vận tải</t>
  </si>
  <si>
    <t>X002K</t>
  </si>
  <si>
    <t>Đội xe B</t>
  </si>
  <si>
    <t>L001C</t>
  </si>
  <si>
    <t>Nhà máy C</t>
  </si>
  <si>
    <t>L002C</t>
  </si>
  <si>
    <t>Xưởng Y</t>
  </si>
  <si>
    <t>G002C</t>
  </si>
  <si>
    <t>C.tyZ</t>
  </si>
  <si>
    <t>G003K</t>
  </si>
  <si>
    <t>XN Cơ khí</t>
  </si>
  <si>
    <t>Cộng:</t>
  </si>
  <si>
    <t>B.quân ngày</t>
  </si>
  <si>
    <r>
      <rPr>
        <b/>
        <sz val="11"/>
        <rFont val="Times New Roman"/>
        <family val="1"/>
      </rPr>
      <t>1.</t>
    </r>
    <r>
      <rPr>
        <sz val="11"/>
        <rFont val="Times New Roman"/>
        <family val="1"/>
      </rPr>
      <t xml:space="preserve">    Căn cứ vào ký tự đầu tiên của CHỨNG TỪ để phân bổ số lượng váo các cột SỐ LƯỢNG của </t>
    </r>
  </si>
  <si>
    <t xml:space="preserve">     XĂNG, GASOIL và DẦU LỬA</t>
  </si>
  <si>
    <t>Nếu ký tự đầu của CHỨNG TỪ là X thì số lượng được phân bổ vào cột XĂNG</t>
  </si>
  <si>
    <t>Nếu ký tự đầu của CHỨNG TỪ là G thì số lượng được phân bổ vào cột GASOIL</t>
  </si>
  <si>
    <t>Nếu ký tự đầu của CHỨNG TỪ là L thì số lượng được phân bổ vào cột DẦU LỬA</t>
  </si>
  <si>
    <r>
      <rPr>
        <b/>
        <sz val="11"/>
        <rFont val="Times New Roman"/>
        <family val="1"/>
      </rPr>
      <t>2.</t>
    </r>
    <r>
      <rPr>
        <sz val="11"/>
        <rFont val="Times New Roman"/>
        <family val="1"/>
      </rPr>
      <t xml:space="preserve">   Tính thành tiền cho mỗi cột = SỐ LƯỢNG * ĐƠN GIÁ, trong đó ĐƠN GIÁ dựa vào bảng giá,</t>
    </r>
  </si>
  <si>
    <t xml:space="preserve">     có 2 loại giá: giá cung cấp và giá kinh doanh. </t>
  </si>
  <si>
    <t xml:space="preserve">     Nếu ký tự bên phải của CHỨNG TỪ là C thì lấy giá cung cấp ngược lại là giá kinh doanh.</t>
  </si>
  <si>
    <r>
      <rPr>
        <b/>
        <sz val="11"/>
        <rFont val="Times New Roman"/>
        <family val="1"/>
      </rPr>
      <t>3.</t>
    </r>
    <r>
      <rPr>
        <sz val="11"/>
        <rFont val="Times New Roman"/>
        <family val="1"/>
      </rPr>
      <t xml:space="preserve"> Tính tổng và bình quân ngày cho mỗi cột.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</si>
</sst>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x14ac:knownFonts="1">
    <font>
      <sz val="11"/>
      <color theme="1"/>
      <name val="Calibri"/>
      <family val="2"/>
      <scheme val="minor"/>
    </font>
    <font>
      <sz val="10"/>
      <name val="Times New Roman"/>
      <family val="1"/>
      <charset val="163"/>
    </font>
    <font>
      <b/>
      <sz val="10"/>
      <name val="Times New Roman"/>
      <family val="1"/>
      <charset val="163"/>
    </font>
    <font>
      <b/>
      <sz val="16"/>
      <color rgb="FFFF0000"/>
      <name val="Times New Roman"/>
      <family val="1"/>
    </font>
    <font>
      <b/>
      <sz val="13"/>
      <color theme="1"/>
      <name val="Times New Roman"/>
      <family val="1"/>
    </font>
    <font>
      <sz val="12"/>
      <name val="Times New Roman"/>
      <family val="1"/>
    </font>
    <font>
      <b/>
      <sz val="12"/>
      <name val="Times New Roman"/>
      <family val="1"/>
    </font>
    <font>
      <sz val="15"/>
      <color rgb="FFFF0000"/>
      <name val="Calibri"/>
      <family val="2"/>
      <scheme val="minor"/>
    </font>
    <font>
      <b/>
      <sz val="12"/>
      <color rgb="FFFF0000"/>
      <name val="Times New Roman"/>
      <family val="1"/>
    </font>
    <font>
      <b/>
      <sz val="11"/>
      <name val="Times New Roman"/>
      <family val="1"/>
    </font>
    <font>
      <sz val="11"/>
      <name val="Times New Roman"/>
      <family val="1"/>
    </font>
  </fonts>
  <fills count="8">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8"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100">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0" fillId="3" borderId="1" xfId="0" applyFill="1" applyBorder="1"/>
    <xf numFmtId="0" fontId="0" fillId="4" borderId="1" xfId="0" applyFill="1" applyBorder="1"/>
    <xf numFmtId="21" fontId="0" fillId="4" borderId="1" xfId="0" applyNumberFormat="1" applyFill="1" applyBorder="1"/>
    <xf numFmtId="0" fontId="4" fillId="2" borderId="1" xfId="0" applyFont="1" applyFill="1" applyBorder="1" applyAlignment="1">
      <alignment horizontal="center"/>
    </xf>
    <xf numFmtId="0" fontId="4" fillId="2" borderId="6" xfId="0" applyFont="1" applyFill="1" applyBorder="1"/>
    <xf numFmtId="0" fontId="4" fillId="2" borderId="7" xfId="0" applyFont="1" applyFill="1" applyBorder="1"/>
    <xf numFmtId="0" fontId="4" fillId="2" borderId="6" xfId="0" quotePrefix="1" applyFont="1" applyFill="1" applyBorder="1"/>
    <xf numFmtId="0" fontId="0" fillId="2" borderId="7" xfId="0" applyFill="1" applyBorder="1"/>
    <xf numFmtId="0" fontId="4" fillId="0" borderId="0" xfId="0" applyFont="1" applyAlignment="1">
      <alignment vertical="center"/>
    </xf>
    <xf numFmtId="0" fontId="5" fillId="0" borderId="0" xfId="0" applyFont="1"/>
    <xf numFmtId="0" fontId="5" fillId="6" borderId="12"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3" xfId="0" applyFont="1" applyFill="1" applyBorder="1" applyAlignment="1">
      <alignment horizontal="center" vertical="center"/>
    </xf>
    <xf numFmtId="0" fontId="6" fillId="7" borderId="0" xfId="0" applyFont="1" applyFill="1"/>
    <xf numFmtId="0" fontId="5" fillId="7" borderId="0" xfId="0" applyFont="1" applyFill="1"/>
    <xf numFmtId="0" fontId="5" fillId="7" borderId="0" xfId="0" applyFont="1" applyFill="1" applyAlignment="1">
      <alignment horizontal="right"/>
    </xf>
    <xf numFmtId="0" fontId="0" fillId="0" borderId="1" xfId="0" applyBorder="1"/>
    <xf numFmtId="0" fontId="0" fillId="0" borderId="1" xfId="0" applyBorder="1"/>
    <xf numFmtId="0" fontId="0" fillId="0" borderId="1" xfId="0" applyBorder="1" applyAlignment="1">
      <alignment horizontal="center"/>
    </xf>
    <xf numFmtId="0" fontId="1" fillId="0" borderId="0" xfId="0" applyFont="1" applyFill="1"/>
    <xf numFmtId="0" fontId="1" fillId="0" borderId="0" xfId="0" quotePrefix="1" applyFont="1" applyFill="1"/>
    <xf numFmtId="0" fontId="0" fillId="0" borderId="6" xfId="0" applyBorder="1"/>
    <xf numFmtId="0" fontId="0" fillId="0" borderId="7" xfId="0" applyBorder="1"/>
    <xf numFmtId="0" fontId="5" fillId="0" borderId="12" xfId="0" applyFont="1" applyFill="1" applyBorder="1"/>
    <xf numFmtId="0" fontId="5" fillId="0" borderId="1" xfId="0" applyFont="1" applyFill="1" applyBorder="1"/>
    <xf numFmtId="0" fontId="5" fillId="0" borderId="1" xfId="0" applyNumberFormat="1" applyFont="1" applyFill="1" applyBorder="1" applyAlignment="1">
      <alignment horizontal="left"/>
    </xf>
    <xf numFmtId="2" fontId="5" fillId="0" borderId="1" xfId="0" applyNumberFormat="1" applyFont="1" applyFill="1" applyBorder="1" applyAlignment="1">
      <alignment horizontal="left"/>
    </xf>
    <xf numFmtId="4" fontId="5" fillId="0" borderId="1" xfId="0" applyNumberFormat="1" applyFont="1" applyFill="1" applyBorder="1" applyAlignment="1">
      <alignment horizontal="left"/>
    </xf>
    <xf numFmtId="0" fontId="5" fillId="0" borderId="13" xfId="0" applyFont="1" applyFill="1" applyBorder="1" applyAlignment="1">
      <alignment horizontal="left"/>
    </xf>
    <xf numFmtId="0" fontId="5" fillId="0" borderId="14" xfId="0" applyFont="1" applyFill="1" applyBorder="1"/>
    <xf numFmtId="0" fontId="5" fillId="0" borderId="15" xfId="0" applyFont="1" applyFill="1" applyBorder="1"/>
    <xf numFmtId="2" fontId="5" fillId="0" borderId="15" xfId="0" applyNumberFormat="1" applyFont="1" applyFill="1" applyBorder="1" applyAlignment="1">
      <alignment horizontal="left"/>
    </xf>
    <xf numFmtId="4" fontId="5" fillId="0" borderId="15" xfId="0" applyNumberFormat="1" applyFont="1" applyFill="1" applyBorder="1" applyAlignment="1">
      <alignment horizontal="left"/>
    </xf>
    <xf numFmtId="0" fontId="5" fillId="0" borderId="16" xfId="0" applyFont="1" applyFill="1" applyBorder="1" applyAlignment="1">
      <alignment horizontal="left"/>
    </xf>
    <xf numFmtId="0" fontId="5" fillId="0" borderId="18" xfId="0" applyFont="1" applyFill="1" applyBorder="1"/>
    <xf numFmtId="0" fontId="5" fillId="0" borderId="19" xfId="0" applyFont="1" applyFill="1" applyBorder="1"/>
    <xf numFmtId="0" fontId="5" fillId="0" borderId="0" xfId="0" applyFont="1" applyFill="1"/>
    <xf numFmtId="0" fontId="5" fillId="0" borderId="13" xfId="0" applyFont="1" applyFill="1" applyBorder="1"/>
    <xf numFmtId="0" fontId="5" fillId="0" borderId="16" xfId="0" applyFont="1" applyFill="1" applyBorder="1"/>
    <xf numFmtId="164" fontId="0" fillId="0" borderId="1" xfId="0" applyNumberFormat="1" applyBorder="1"/>
    <xf numFmtId="0" fontId="0" fillId="3" borderId="1" xfId="0" applyFill="1" applyBorder="1" applyAlignment="1">
      <alignment horizontal="center"/>
    </xf>
    <xf numFmtId="21" fontId="0" fillId="3" borderId="1" xfId="0" applyNumberFormat="1" applyFill="1" applyBorder="1"/>
    <xf numFmtId="0" fontId="0" fillId="0" borderId="1" xfId="0" applyFill="1" applyBorder="1"/>
    <xf numFmtId="46" fontId="0" fillId="3" borderId="1" xfId="0" applyNumberFormat="1" applyFill="1" applyBorder="1"/>
    <xf numFmtId="21" fontId="0" fillId="0" borderId="0" xfId="0" applyNumberFormat="1"/>
    <xf numFmtId="0" fontId="7" fillId="0" borderId="0" xfId="0" applyFont="1" applyAlignment="1">
      <alignment horizontal="center"/>
    </xf>
    <xf numFmtId="0" fontId="0" fillId="0" borderId="1" xfId="0" applyBorder="1" applyAlignment="1">
      <alignment horizontal="center"/>
    </xf>
    <xf numFmtId="0" fontId="0" fillId="0" borderId="1" xfId="0" applyBorder="1"/>
    <xf numFmtId="0" fontId="3" fillId="0" borderId="0" xfId="0" applyFont="1" applyAlignment="1">
      <alignment horizontal="center" vertical="center"/>
    </xf>
    <xf numFmtId="0" fontId="0" fillId="5" borderId="6"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7" xfId="0" applyFill="1" applyBorder="1" applyAlignment="1">
      <alignment horizontal="left" vertical="center" wrapText="1" indent="2"/>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5" fillId="0" borderId="17" xfId="0" applyFont="1" applyFill="1" applyBorder="1" applyAlignment="1">
      <alignment horizontal="left"/>
    </xf>
    <xf numFmtId="0" fontId="5" fillId="0" borderId="18" xfId="0" applyFont="1" applyFill="1" applyBorder="1" applyAlignment="1">
      <alignment horizontal="left"/>
    </xf>
    <xf numFmtId="0" fontId="5" fillId="0" borderId="12" xfId="0" applyFont="1" applyFill="1" applyBorder="1" applyAlignment="1">
      <alignment horizontal="left"/>
    </xf>
    <xf numFmtId="0" fontId="5" fillId="0" borderId="1" xfId="0" applyFont="1" applyFill="1" applyBorder="1" applyAlignment="1">
      <alignment horizontal="left"/>
    </xf>
    <xf numFmtId="0" fontId="5" fillId="0" borderId="14" xfId="0" applyFont="1" applyFill="1" applyBorder="1" applyAlignment="1">
      <alignment horizontal="left"/>
    </xf>
    <xf numFmtId="0" fontId="5" fillId="0" borderId="15" xfId="0" applyFont="1" applyFill="1" applyBorder="1" applyAlignment="1">
      <alignment horizontal="left"/>
    </xf>
    <xf numFmtId="0" fontId="9" fillId="0" borderId="0" xfId="0" applyFont="1" applyBorder="1" applyAlignment="1">
      <alignment horizontal="center" vertical="center" wrapText="1"/>
    </xf>
    <xf numFmtId="0" fontId="9" fillId="0" borderId="0" xfId="0" applyFont="1" applyBorder="1" applyAlignment="1">
      <alignment horizontal="center" vertical="center"/>
    </xf>
    <xf numFmtId="0" fontId="10" fillId="0" borderId="0" xfId="0" applyFont="1"/>
    <xf numFmtId="0" fontId="10" fillId="0" borderId="0" xfId="0" applyFont="1" applyBorder="1"/>
    <xf numFmtId="0" fontId="10" fillId="0" borderId="17"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12" xfId="0" applyFont="1" applyBorder="1"/>
    <xf numFmtId="0" fontId="10" fillId="0" borderId="1" xfId="0" applyFont="1" applyBorder="1"/>
    <xf numFmtId="0" fontId="10" fillId="0" borderId="13" xfId="0" applyFont="1" applyBorder="1"/>
    <xf numFmtId="0" fontId="10" fillId="0" borderId="14" xfId="0" applyFont="1" applyBorder="1"/>
    <xf numFmtId="0" fontId="10" fillId="0" borderId="15" xfId="0" applyFont="1" applyBorder="1"/>
    <xf numFmtId="0" fontId="10" fillId="0" borderId="16" xfId="0" applyFont="1" applyBorder="1"/>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12"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3" xfId="0" applyFont="1" applyBorder="1" applyAlignment="1">
      <alignment horizontal="center" vertical="center"/>
    </xf>
    <xf numFmtId="0" fontId="10" fillId="0" borderId="12" xfId="0" applyFont="1" applyBorder="1" applyAlignment="1">
      <alignment vertical="center"/>
    </xf>
    <xf numFmtId="0" fontId="10" fillId="0" borderId="1" xfId="0" applyFont="1" applyBorder="1" applyAlignment="1">
      <alignment vertical="center"/>
    </xf>
    <xf numFmtId="0" fontId="10" fillId="0" borderId="13" xfId="0" applyFont="1" applyBorder="1" applyAlignment="1">
      <alignment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15" xfId="0" applyFont="1" applyBorder="1" applyAlignment="1">
      <alignment vertical="center"/>
    </xf>
    <xf numFmtId="2" fontId="10" fillId="0" borderId="15" xfId="0" applyNumberFormat="1" applyFont="1" applyBorder="1" applyAlignment="1">
      <alignment vertical="center"/>
    </xf>
    <xf numFmtId="2" fontId="10" fillId="0" borderId="16" xfId="0" applyNumberFormat="1" applyFont="1" applyBorder="1" applyAlignment="1">
      <alignment vertical="center"/>
    </xf>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opLeftCell="A5" zoomScale="130" zoomScaleNormal="130" workbookViewId="0">
      <selection activeCell="F22" sqref="F22"/>
    </sheetView>
  </sheetViews>
  <sheetFormatPr defaultColWidth="9.109375" defaultRowHeight="16.5" customHeight="1" x14ac:dyDescent="0.25"/>
  <cols>
    <col min="1" max="6" width="9.109375" style="1"/>
    <col min="7" max="9" width="10.33203125" style="1" customWidth="1"/>
    <col min="10" max="16384" width="9.109375" style="1"/>
  </cols>
  <sheetData>
    <row r="1" spans="1:9" ht="20.25" customHeight="1" x14ac:dyDescent="0.4">
      <c r="A1" s="49" t="s">
        <v>93</v>
      </c>
      <c r="B1" s="49"/>
      <c r="C1" s="49"/>
      <c r="D1" s="49"/>
      <c r="E1" s="49"/>
      <c r="F1" s="49"/>
      <c r="G1" s="49"/>
      <c r="H1" s="49"/>
      <c r="I1" s="49"/>
    </row>
    <row r="2" spans="1:9" ht="19.5" customHeight="1" x14ac:dyDescent="0.3">
      <c r="A2" s="22" t="s">
        <v>0</v>
      </c>
      <c r="B2" s="50" t="s">
        <v>1</v>
      </c>
      <c r="C2" s="50"/>
      <c r="D2" s="22" t="s">
        <v>2</v>
      </c>
      <c r="E2" s="22" t="s">
        <v>3</v>
      </c>
      <c r="F2" s="22" t="s">
        <v>4</v>
      </c>
      <c r="G2" s="22" t="s">
        <v>5</v>
      </c>
      <c r="H2" s="22" t="s">
        <v>6</v>
      </c>
      <c r="I2" s="22" t="s">
        <v>7</v>
      </c>
    </row>
    <row r="3" spans="1:9" ht="16.5" customHeight="1" x14ac:dyDescent="0.3">
      <c r="A3" s="22">
        <v>1</v>
      </c>
      <c r="B3" s="25" t="s">
        <v>8</v>
      </c>
      <c r="C3" s="26" t="s">
        <v>9</v>
      </c>
      <c r="D3" s="20">
        <v>9</v>
      </c>
      <c r="E3" s="20">
        <v>10</v>
      </c>
      <c r="F3" s="20">
        <v>9</v>
      </c>
      <c r="G3" s="43">
        <f xml:space="preserve"> ROUND(AVERAGE(D3:F3),1)</f>
        <v>9.3000000000000007</v>
      </c>
      <c r="H3" s="20"/>
      <c r="I3" s="20"/>
    </row>
    <row r="4" spans="1:9" ht="16.5" customHeight="1" x14ac:dyDescent="0.3">
      <c r="A4" s="22">
        <v>2</v>
      </c>
      <c r="B4" s="25" t="s">
        <v>10</v>
      </c>
      <c r="C4" s="26" t="s">
        <v>11</v>
      </c>
      <c r="D4" s="20">
        <v>10</v>
      </c>
      <c r="E4" s="20">
        <v>10</v>
      </c>
      <c r="F4" s="20">
        <v>9</v>
      </c>
      <c r="G4" s="43">
        <f t="shared" ref="G4:G9" si="0" xml:space="preserve"> ROUND(AVERAGE(D4:F4),1)</f>
        <v>9.6999999999999993</v>
      </c>
      <c r="H4" s="21"/>
      <c r="I4" s="20"/>
    </row>
    <row r="5" spans="1:9" ht="16.5" customHeight="1" x14ac:dyDescent="0.3">
      <c r="A5" s="22">
        <v>3</v>
      </c>
      <c r="B5" s="25" t="s">
        <v>12</v>
      </c>
      <c r="C5" s="26" t="s">
        <v>13</v>
      </c>
      <c r="D5" s="20">
        <v>6</v>
      </c>
      <c r="E5" s="20">
        <v>8</v>
      </c>
      <c r="F5" s="20">
        <v>8</v>
      </c>
      <c r="G5" s="43">
        <f t="shared" si="0"/>
        <v>7.3</v>
      </c>
      <c r="H5" s="21"/>
      <c r="I5" s="20"/>
    </row>
    <row r="6" spans="1:9" ht="16.5" customHeight="1" x14ac:dyDescent="0.3">
      <c r="A6" s="22">
        <v>4</v>
      </c>
      <c r="B6" s="25" t="s">
        <v>14</v>
      </c>
      <c r="C6" s="26" t="s">
        <v>15</v>
      </c>
      <c r="D6" s="20">
        <v>7</v>
      </c>
      <c r="E6" s="20">
        <v>6</v>
      </c>
      <c r="F6" s="20">
        <v>7</v>
      </c>
      <c r="G6" s="43">
        <f t="shared" si="0"/>
        <v>6.7</v>
      </c>
      <c r="H6" s="21"/>
      <c r="I6" s="20"/>
    </row>
    <row r="7" spans="1:9" ht="16.5" customHeight="1" x14ac:dyDescent="0.3">
      <c r="A7" s="22">
        <v>5</v>
      </c>
      <c r="B7" s="25" t="s">
        <v>8</v>
      </c>
      <c r="C7" s="26" t="s">
        <v>16</v>
      </c>
      <c r="D7" s="20">
        <v>4</v>
      </c>
      <c r="E7" s="20">
        <v>6</v>
      </c>
      <c r="F7" s="20">
        <v>3</v>
      </c>
      <c r="G7" s="43">
        <f t="shared" si="0"/>
        <v>4.3</v>
      </c>
      <c r="H7" s="21"/>
      <c r="I7" s="20"/>
    </row>
    <row r="8" spans="1:9" ht="16.5" customHeight="1" x14ac:dyDescent="0.3">
      <c r="A8" s="22">
        <v>6</v>
      </c>
      <c r="B8" s="25" t="s">
        <v>17</v>
      </c>
      <c r="C8" s="26" t="s">
        <v>18</v>
      </c>
      <c r="D8" s="20">
        <v>7</v>
      </c>
      <c r="E8" s="20">
        <v>9</v>
      </c>
      <c r="F8" s="20">
        <v>8</v>
      </c>
      <c r="G8" s="43">
        <f t="shared" si="0"/>
        <v>8</v>
      </c>
      <c r="H8" s="21"/>
      <c r="I8" s="20"/>
    </row>
    <row r="9" spans="1:9" ht="16.5" customHeight="1" x14ac:dyDescent="0.3">
      <c r="A9" s="22">
        <v>7</v>
      </c>
      <c r="B9" s="25" t="s">
        <v>19</v>
      </c>
      <c r="C9" s="26" t="s">
        <v>20</v>
      </c>
      <c r="D9" s="20">
        <v>9</v>
      </c>
      <c r="E9" s="20">
        <v>9</v>
      </c>
      <c r="F9" s="20">
        <v>10</v>
      </c>
      <c r="G9" s="43">
        <f t="shared" si="0"/>
        <v>9.3000000000000007</v>
      </c>
      <c r="H9" s="21"/>
      <c r="I9" s="20"/>
    </row>
    <row r="10" spans="1:9" ht="16.5" customHeight="1" x14ac:dyDescent="0.3">
      <c r="A10" s="51" t="s">
        <v>21</v>
      </c>
      <c r="B10" s="51"/>
      <c r="C10" s="51"/>
      <c r="D10" s="20"/>
      <c r="E10"/>
      <c r="F10"/>
      <c r="G10"/>
      <c r="H10"/>
      <c r="I10"/>
    </row>
    <row r="11" spans="1:9" ht="16.5" customHeight="1" x14ac:dyDescent="0.3">
      <c r="A11" s="51" t="s">
        <v>22</v>
      </c>
      <c r="B11" s="51"/>
      <c r="C11" s="51"/>
      <c r="D11" s="20"/>
      <c r="E11"/>
      <c r="F11"/>
      <c r="G11"/>
      <c r="H11"/>
      <c r="I11"/>
    </row>
    <row r="12" spans="1:9" ht="16.5" customHeight="1" x14ac:dyDescent="0.25">
      <c r="A12" s="2" t="s">
        <v>23</v>
      </c>
    </row>
    <row r="13" spans="1:9" ht="16.5" customHeight="1" x14ac:dyDescent="0.25">
      <c r="A13" s="23" t="s">
        <v>24</v>
      </c>
      <c r="B13" s="23"/>
      <c r="C13" s="23"/>
      <c r="D13" s="23"/>
      <c r="E13" s="23"/>
      <c r="F13" s="23"/>
      <c r="G13" s="23"/>
      <c r="H13" s="23"/>
      <c r="I13" s="23"/>
    </row>
    <row r="14" spans="1:9" ht="16.5" customHeight="1" x14ac:dyDescent="0.25">
      <c r="A14" s="23" t="s">
        <v>25</v>
      </c>
      <c r="B14" s="23"/>
      <c r="C14" s="23"/>
      <c r="D14" s="23"/>
      <c r="E14" s="23"/>
      <c r="F14" s="23"/>
      <c r="G14" s="23"/>
      <c r="H14" s="23"/>
      <c r="I14" s="23"/>
    </row>
    <row r="15" spans="1:9" ht="16.5" customHeight="1" x14ac:dyDescent="0.25">
      <c r="A15" s="23" t="s">
        <v>26</v>
      </c>
      <c r="B15" s="23"/>
      <c r="C15" s="23"/>
      <c r="D15" s="23"/>
      <c r="E15" s="23"/>
      <c r="F15" s="23"/>
      <c r="G15" s="23"/>
      <c r="H15" s="23"/>
      <c r="I15" s="23"/>
    </row>
    <row r="16" spans="1:9" ht="16.5" customHeight="1" x14ac:dyDescent="0.25">
      <c r="A16" s="23"/>
      <c r="B16" s="24" t="s">
        <v>27</v>
      </c>
      <c r="C16" s="23"/>
      <c r="D16" s="23"/>
      <c r="E16" s="23"/>
      <c r="F16" s="23"/>
      <c r="G16" s="23"/>
      <c r="H16" s="23"/>
      <c r="I16" s="23"/>
    </row>
    <row r="17" spans="1:9" ht="16.5" customHeight="1" x14ac:dyDescent="0.25">
      <c r="A17" s="23"/>
      <c r="B17" s="24" t="s">
        <v>28</v>
      </c>
      <c r="C17" s="23"/>
      <c r="D17" s="23"/>
      <c r="E17" s="23"/>
      <c r="F17" s="23"/>
      <c r="G17" s="23"/>
      <c r="H17" s="23"/>
      <c r="I17" s="23"/>
    </row>
    <row r="18" spans="1:9" ht="16.5" customHeight="1" x14ac:dyDescent="0.25">
      <c r="A18" s="23"/>
      <c r="B18" s="24" t="s">
        <v>29</v>
      </c>
      <c r="C18" s="23"/>
      <c r="D18" s="23"/>
      <c r="E18" s="23"/>
      <c r="F18" s="23"/>
      <c r="G18" s="23"/>
      <c r="H18" s="23"/>
      <c r="I18" s="23"/>
    </row>
    <row r="19" spans="1:9" ht="16.5" customHeight="1" x14ac:dyDescent="0.25">
      <c r="A19" s="23"/>
      <c r="B19" s="24" t="s">
        <v>30</v>
      </c>
      <c r="C19" s="23"/>
      <c r="D19" s="23"/>
      <c r="E19" s="23"/>
      <c r="F19" s="23"/>
      <c r="G19" s="23"/>
      <c r="H19" s="23"/>
      <c r="I19" s="23"/>
    </row>
    <row r="20" spans="1:9" ht="16.5" customHeight="1" x14ac:dyDescent="0.25">
      <c r="A20" s="23" t="s">
        <v>31</v>
      </c>
      <c r="B20" s="23"/>
      <c r="C20" s="23"/>
      <c r="D20" s="23"/>
      <c r="E20" s="23"/>
      <c r="F20" s="23"/>
      <c r="G20" s="23"/>
      <c r="H20" s="23"/>
      <c r="I20" s="23"/>
    </row>
    <row r="21" spans="1:9" ht="16.5" customHeight="1" x14ac:dyDescent="0.25">
      <c r="A21" s="23" t="s">
        <v>32</v>
      </c>
      <c r="B21" s="23"/>
      <c r="C21" s="23"/>
      <c r="D21" s="23"/>
      <c r="E21" s="23"/>
      <c r="F21" s="23"/>
      <c r="G21" s="23"/>
      <c r="H21" s="23"/>
      <c r="I21" s="23"/>
    </row>
  </sheetData>
  <mergeCells count="4">
    <mergeCell ref="A1:I1"/>
    <mergeCell ref="B2:C2"/>
    <mergeCell ref="A10:C10"/>
    <mergeCell ref="A11:C1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115" zoomScaleNormal="115" workbookViewId="0">
      <selection activeCell="H20" sqref="H20"/>
    </sheetView>
  </sheetViews>
  <sheetFormatPr defaultRowHeight="14.4" x14ac:dyDescent="0.3"/>
  <cols>
    <col min="1" max="1" width="8.33203125" customWidth="1"/>
    <col min="2" max="2" width="20.88671875" customWidth="1"/>
    <col min="3" max="3" width="16.44140625" customWidth="1"/>
    <col min="4" max="6" width="17.5546875" customWidth="1"/>
    <col min="7" max="7" width="20.44140625" customWidth="1"/>
  </cols>
  <sheetData>
    <row r="1" spans="1:7" ht="35.25" customHeight="1" x14ac:dyDescent="0.3">
      <c r="A1" s="52" t="s">
        <v>94</v>
      </c>
      <c r="B1" s="52"/>
      <c r="C1" s="52"/>
      <c r="D1" s="52"/>
      <c r="E1" s="52"/>
      <c r="F1" s="52"/>
      <c r="G1" s="52"/>
    </row>
    <row r="2" spans="1:7" ht="30" customHeight="1" x14ac:dyDescent="0.3">
      <c r="A2" s="3" t="s">
        <v>0</v>
      </c>
      <c r="B2" s="3" t="s">
        <v>1</v>
      </c>
      <c r="C2" s="3" t="s">
        <v>33</v>
      </c>
      <c r="D2" s="3" t="s">
        <v>34</v>
      </c>
      <c r="E2" s="3" t="s">
        <v>35</v>
      </c>
      <c r="F2" s="3" t="s">
        <v>36</v>
      </c>
      <c r="G2" s="3" t="s">
        <v>6</v>
      </c>
    </row>
    <row r="3" spans="1:7" ht="18" customHeight="1" x14ac:dyDescent="0.3">
      <c r="A3" s="44">
        <v>1</v>
      </c>
      <c r="B3" s="5" t="s">
        <v>42</v>
      </c>
      <c r="C3" s="5" t="s">
        <v>41</v>
      </c>
      <c r="D3" s="6">
        <v>0.3833333333333333</v>
      </c>
      <c r="E3" s="6">
        <v>0.55063657407407407</v>
      </c>
      <c r="F3" s="45"/>
      <c r="G3" s="4"/>
    </row>
    <row r="4" spans="1:7" ht="18" customHeight="1" x14ac:dyDescent="0.3">
      <c r="A4" s="44">
        <v>2</v>
      </c>
      <c r="B4" s="5" t="s">
        <v>47</v>
      </c>
      <c r="C4" s="5" t="s">
        <v>45</v>
      </c>
      <c r="D4" s="6">
        <v>0.38472222222222219</v>
      </c>
      <c r="E4" s="6">
        <v>0.55555555555555558</v>
      </c>
      <c r="F4" s="45"/>
      <c r="G4" s="4"/>
    </row>
    <row r="5" spans="1:7" ht="18" customHeight="1" x14ac:dyDescent="0.3">
      <c r="A5" s="44">
        <v>3</v>
      </c>
      <c r="B5" s="5" t="s">
        <v>39</v>
      </c>
      <c r="C5" s="5" t="s">
        <v>38</v>
      </c>
      <c r="D5" s="6">
        <v>0.38194444444444442</v>
      </c>
      <c r="E5" s="6">
        <v>0.53269675925925919</v>
      </c>
      <c r="F5" s="45"/>
      <c r="G5" s="4"/>
    </row>
    <row r="6" spans="1:7" ht="18" customHeight="1" x14ac:dyDescent="0.3">
      <c r="A6" s="44">
        <v>4</v>
      </c>
      <c r="B6" s="5" t="s">
        <v>37</v>
      </c>
      <c r="C6" s="5" t="s">
        <v>38</v>
      </c>
      <c r="D6" s="6">
        <v>0.38194444444444442</v>
      </c>
      <c r="E6" s="6">
        <v>0.54872685185185188</v>
      </c>
      <c r="F6" s="45"/>
      <c r="G6" s="4"/>
    </row>
    <row r="7" spans="1:7" ht="18" customHeight="1" x14ac:dyDescent="0.3">
      <c r="A7" s="44">
        <v>5</v>
      </c>
      <c r="B7" s="5" t="s">
        <v>46</v>
      </c>
      <c r="C7" s="5" t="s">
        <v>45</v>
      </c>
      <c r="D7" s="6">
        <v>0.38472222222222219</v>
      </c>
      <c r="E7" s="6">
        <v>0.53819444444444442</v>
      </c>
      <c r="F7" s="45"/>
      <c r="G7" s="4"/>
    </row>
    <row r="8" spans="1:7" ht="18" customHeight="1" x14ac:dyDescent="0.3">
      <c r="A8" s="44">
        <v>6</v>
      </c>
      <c r="B8" s="5" t="s">
        <v>44</v>
      </c>
      <c r="C8" s="5" t="s">
        <v>45</v>
      </c>
      <c r="D8" s="6">
        <v>0.38472222222222219</v>
      </c>
      <c r="E8" s="6">
        <v>0.59722222222222221</v>
      </c>
      <c r="F8" s="45"/>
      <c r="G8" s="4"/>
    </row>
    <row r="9" spans="1:7" ht="18" customHeight="1" x14ac:dyDescent="0.3">
      <c r="A9" s="44">
        <v>7</v>
      </c>
      <c r="B9" s="5" t="s">
        <v>40</v>
      </c>
      <c r="C9" s="5" t="s">
        <v>41</v>
      </c>
      <c r="D9" s="6">
        <v>0.3833333333333333</v>
      </c>
      <c r="E9" s="6">
        <v>0.52361111111111114</v>
      </c>
      <c r="F9" s="45"/>
      <c r="G9" s="4"/>
    </row>
    <row r="10" spans="1:7" ht="18" customHeight="1" x14ac:dyDescent="0.3">
      <c r="A10" s="44">
        <v>8</v>
      </c>
      <c r="B10" s="5" t="s">
        <v>95</v>
      </c>
      <c r="C10" s="5" t="s">
        <v>38</v>
      </c>
      <c r="D10" s="6">
        <v>0.38194444444444442</v>
      </c>
      <c r="E10" s="6">
        <v>0.54942129629629632</v>
      </c>
      <c r="F10" s="45"/>
      <c r="G10" s="4"/>
    </row>
    <row r="11" spans="1:7" ht="18" customHeight="1" x14ac:dyDescent="0.3">
      <c r="A11" s="44">
        <v>9</v>
      </c>
      <c r="B11" s="5" t="s">
        <v>43</v>
      </c>
      <c r="C11" s="5" t="s">
        <v>41</v>
      </c>
      <c r="D11" s="6">
        <v>0.3833333333333333</v>
      </c>
      <c r="E11" s="6">
        <v>0.55833333333333335</v>
      </c>
      <c r="F11" s="45"/>
      <c r="G11" s="4"/>
    </row>
    <row r="12" spans="1:7" x14ac:dyDescent="0.3">
      <c r="G12" s="46"/>
    </row>
    <row r="13" spans="1:7" ht="16.8" x14ac:dyDescent="0.3">
      <c r="A13" s="56" t="s">
        <v>48</v>
      </c>
      <c r="B13" s="57"/>
      <c r="C13" s="7" t="s">
        <v>49</v>
      </c>
      <c r="D13" s="7" t="s">
        <v>50</v>
      </c>
      <c r="E13" s="7" t="s">
        <v>51</v>
      </c>
      <c r="G13" s="46"/>
    </row>
    <row r="14" spans="1:7" ht="15" customHeight="1" x14ac:dyDescent="0.3">
      <c r="A14" s="58"/>
      <c r="B14" s="59"/>
      <c r="C14" s="45"/>
      <c r="D14" s="45"/>
      <c r="E14" s="4"/>
    </row>
    <row r="16" spans="1:7" ht="16.8" x14ac:dyDescent="0.3">
      <c r="A16" s="8" t="s">
        <v>52</v>
      </c>
      <c r="B16" s="9"/>
      <c r="C16" s="7" t="s">
        <v>38</v>
      </c>
      <c r="D16" s="7" t="s">
        <v>41</v>
      </c>
      <c r="E16" s="7" t="s">
        <v>45</v>
      </c>
      <c r="F16" s="48"/>
    </row>
    <row r="17" spans="1:7" ht="16.8" x14ac:dyDescent="0.3">
      <c r="A17" s="10" t="s">
        <v>53</v>
      </c>
      <c r="B17" s="11"/>
      <c r="C17" s="47"/>
      <c r="D17" s="47"/>
      <c r="E17" s="47"/>
    </row>
    <row r="18" spans="1:7" ht="16.8" x14ac:dyDescent="0.3">
      <c r="A18" s="10" t="s">
        <v>54</v>
      </c>
      <c r="B18" s="11"/>
      <c r="C18" s="4"/>
      <c r="D18" s="4"/>
      <c r="E18" s="4"/>
    </row>
    <row r="20" spans="1:7" ht="21" customHeight="1" x14ac:dyDescent="0.3">
      <c r="A20" s="12" t="s">
        <v>55</v>
      </c>
    </row>
    <row r="21" spans="1:7" ht="113.25" customHeight="1" x14ac:dyDescent="0.3">
      <c r="A21" s="53" t="s">
        <v>56</v>
      </c>
      <c r="B21" s="54"/>
      <c r="C21" s="54"/>
      <c r="D21" s="54"/>
      <c r="E21" s="54"/>
      <c r="F21" s="54"/>
      <c r="G21" s="55"/>
    </row>
  </sheetData>
  <sortState ref="B3:G11">
    <sortCondition ref="B3:B11"/>
  </sortState>
  <mergeCells count="3">
    <mergeCell ref="A1:G1"/>
    <mergeCell ref="A21:G21"/>
    <mergeCell ref="A13: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zoomScaleNormal="100" workbookViewId="0">
      <selection activeCell="N10" sqref="N10"/>
    </sheetView>
  </sheetViews>
  <sheetFormatPr defaultColWidth="9.109375" defaultRowHeight="15.6" x14ac:dyDescent="0.3"/>
  <cols>
    <col min="1" max="1" width="10.88671875" style="13" customWidth="1"/>
    <col min="2" max="6" width="9.109375" style="13"/>
    <col min="7" max="10" width="10.33203125" style="13" customWidth="1"/>
    <col min="11" max="16384" width="9.109375" style="13"/>
  </cols>
  <sheetData>
    <row r="1" spans="1:10" ht="17.25" customHeight="1" x14ac:dyDescent="0.3">
      <c r="A1" s="60" t="s">
        <v>106</v>
      </c>
      <c r="B1" s="61"/>
      <c r="C1" s="61"/>
      <c r="D1" s="61"/>
      <c r="E1" s="61"/>
      <c r="F1" s="61"/>
      <c r="G1" s="61"/>
      <c r="H1" s="61"/>
      <c r="I1" s="61"/>
      <c r="J1" s="62"/>
    </row>
    <row r="2" spans="1:10" x14ac:dyDescent="0.3">
      <c r="A2" s="14" t="s">
        <v>57</v>
      </c>
      <c r="B2" s="15" t="s">
        <v>59</v>
      </c>
      <c r="C2" s="15" t="s">
        <v>60</v>
      </c>
      <c r="D2" s="15" t="s">
        <v>61</v>
      </c>
      <c r="E2" s="15" t="s">
        <v>62</v>
      </c>
      <c r="F2" s="15" t="s">
        <v>63</v>
      </c>
      <c r="G2" s="15" t="s">
        <v>64</v>
      </c>
      <c r="H2" s="15" t="s">
        <v>65</v>
      </c>
      <c r="I2" s="15" t="s">
        <v>66</v>
      </c>
      <c r="J2" s="16" t="s">
        <v>67</v>
      </c>
    </row>
    <row r="3" spans="1:10" x14ac:dyDescent="0.3">
      <c r="A3" s="27" t="s">
        <v>96</v>
      </c>
      <c r="B3" s="28" t="s">
        <v>68</v>
      </c>
      <c r="C3" s="28">
        <v>1969</v>
      </c>
      <c r="D3" s="28">
        <v>15</v>
      </c>
      <c r="E3" s="28">
        <v>16</v>
      </c>
      <c r="F3" s="28">
        <v>18</v>
      </c>
      <c r="G3" s="29"/>
      <c r="H3" s="30"/>
      <c r="I3" s="31"/>
      <c r="J3" s="32"/>
    </row>
    <row r="4" spans="1:10" x14ac:dyDescent="0.3">
      <c r="A4" s="27" t="s">
        <v>97</v>
      </c>
      <c r="B4" s="28" t="s">
        <v>68</v>
      </c>
      <c r="C4" s="28">
        <v>1970</v>
      </c>
      <c r="D4" s="28">
        <v>12</v>
      </c>
      <c r="E4" s="28">
        <v>3</v>
      </c>
      <c r="F4" s="28">
        <v>14</v>
      </c>
      <c r="G4" s="29"/>
      <c r="H4" s="30"/>
      <c r="I4" s="31"/>
      <c r="J4" s="32"/>
    </row>
    <row r="5" spans="1:10" x14ac:dyDescent="0.3">
      <c r="A5" s="27" t="s">
        <v>98</v>
      </c>
      <c r="B5" s="28" t="s">
        <v>68</v>
      </c>
      <c r="C5" s="28">
        <v>1968</v>
      </c>
      <c r="D5" s="28">
        <v>10</v>
      </c>
      <c r="E5" s="28">
        <v>2</v>
      </c>
      <c r="F5" s="28">
        <v>10</v>
      </c>
      <c r="G5" s="29"/>
      <c r="H5" s="30"/>
      <c r="I5" s="31"/>
      <c r="J5" s="32"/>
    </row>
    <row r="6" spans="1:10" x14ac:dyDescent="0.3">
      <c r="A6" s="27" t="s">
        <v>99</v>
      </c>
      <c r="B6" s="28" t="s">
        <v>69</v>
      </c>
      <c r="C6" s="28">
        <v>1980</v>
      </c>
      <c r="D6" s="28">
        <v>8</v>
      </c>
      <c r="E6" s="28">
        <v>15</v>
      </c>
      <c r="F6" s="28">
        <v>10</v>
      </c>
      <c r="G6" s="29"/>
      <c r="H6" s="30"/>
      <c r="I6" s="31"/>
      <c r="J6" s="32"/>
    </row>
    <row r="7" spans="1:10" x14ac:dyDescent="0.3">
      <c r="A7" s="27" t="s">
        <v>100</v>
      </c>
      <c r="B7" s="28" t="s">
        <v>69</v>
      </c>
      <c r="C7" s="28">
        <v>1970</v>
      </c>
      <c r="D7" s="28">
        <v>9</v>
      </c>
      <c r="E7" s="28">
        <v>14</v>
      </c>
      <c r="F7" s="28">
        <v>12</v>
      </c>
      <c r="G7" s="29"/>
      <c r="H7" s="30"/>
      <c r="I7" s="31"/>
      <c r="J7" s="32"/>
    </row>
    <row r="8" spans="1:10" x14ac:dyDescent="0.3">
      <c r="A8" s="27" t="s">
        <v>101</v>
      </c>
      <c r="B8" s="28" t="s">
        <v>69</v>
      </c>
      <c r="C8" s="28">
        <v>1975</v>
      </c>
      <c r="D8" s="28">
        <v>12</v>
      </c>
      <c r="E8" s="28">
        <v>16</v>
      </c>
      <c r="F8" s="28">
        <v>11</v>
      </c>
      <c r="G8" s="29"/>
      <c r="H8" s="30"/>
      <c r="I8" s="31"/>
      <c r="J8" s="32"/>
    </row>
    <row r="9" spans="1:10" x14ac:dyDescent="0.3">
      <c r="A9" s="27" t="s">
        <v>102</v>
      </c>
      <c r="B9" s="28" t="s">
        <v>69</v>
      </c>
      <c r="C9" s="28">
        <v>1976</v>
      </c>
      <c r="D9" s="28">
        <v>13</v>
      </c>
      <c r="E9" s="28">
        <v>8</v>
      </c>
      <c r="F9" s="28">
        <v>16</v>
      </c>
      <c r="G9" s="29"/>
      <c r="H9" s="30"/>
      <c r="I9" s="31"/>
      <c r="J9" s="32"/>
    </row>
    <row r="10" spans="1:10" x14ac:dyDescent="0.3">
      <c r="A10" s="27" t="s">
        <v>103</v>
      </c>
      <c r="B10" s="28" t="s">
        <v>69</v>
      </c>
      <c r="C10" s="28">
        <v>1974</v>
      </c>
      <c r="D10" s="28">
        <v>16</v>
      </c>
      <c r="E10" s="28">
        <v>9</v>
      </c>
      <c r="F10" s="28">
        <v>13</v>
      </c>
      <c r="G10" s="29"/>
      <c r="H10" s="30"/>
      <c r="I10" s="31"/>
      <c r="J10" s="32"/>
    </row>
    <row r="11" spans="1:10" x14ac:dyDescent="0.3">
      <c r="A11" s="27" t="s">
        <v>104</v>
      </c>
      <c r="B11" s="28" t="s">
        <v>69</v>
      </c>
      <c r="C11" s="28">
        <v>1973</v>
      </c>
      <c r="D11" s="28">
        <v>17</v>
      </c>
      <c r="E11" s="28">
        <v>17</v>
      </c>
      <c r="F11" s="28">
        <v>18</v>
      </c>
      <c r="G11" s="29"/>
      <c r="H11" s="30"/>
      <c r="I11" s="31"/>
      <c r="J11" s="32"/>
    </row>
    <row r="12" spans="1:10" ht="16.2" thickBot="1" x14ac:dyDescent="0.35">
      <c r="A12" s="33" t="s">
        <v>105</v>
      </c>
      <c r="B12" s="34" t="s">
        <v>68</v>
      </c>
      <c r="C12" s="34">
        <v>1981</v>
      </c>
      <c r="D12" s="34">
        <v>18</v>
      </c>
      <c r="E12" s="34">
        <v>15</v>
      </c>
      <c r="F12" s="34">
        <v>12</v>
      </c>
      <c r="G12" s="29"/>
      <c r="H12" s="35"/>
      <c r="I12" s="36"/>
      <c r="J12" s="37"/>
    </row>
    <row r="13" spans="1:10" x14ac:dyDescent="0.3">
      <c r="A13" s="63" t="s">
        <v>70</v>
      </c>
      <c r="B13" s="64"/>
      <c r="C13" s="64"/>
      <c r="D13" s="38"/>
      <c r="E13" s="38"/>
      <c r="F13" s="39"/>
      <c r="G13" s="40"/>
      <c r="H13" s="40"/>
      <c r="I13" s="40"/>
      <c r="J13" s="40"/>
    </row>
    <row r="14" spans="1:10" x14ac:dyDescent="0.3">
      <c r="A14" s="65" t="s">
        <v>71</v>
      </c>
      <c r="B14" s="66"/>
      <c r="C14" s="66"/>
      <c r="D14" s="28"/>
      <c r="E14" s="28"/>
      <c r="F14" s="41"/>
      <c r="G14" s="40"/>
      <c r="H14" s="40"/>
      <c r="I14" s="40"/>
      <c r="J14" s="40"/>
    </row>
    <row r="15" spans="1:10" ht="16.2" thickBot="1" x14ac:dyDescent="0.35">
      <c r="A15" s="67" t="s">
        <v>72</v>
      </c>
      <c r="B15" s="68"/>
      <c r="C15" s="68"/>
      <c r="D15" s="34"/>
      <c r="E15" s="34"/>
      <c r="F15" s="42"/>
      <c r="G15" s="40"/>
      <c r="H15" s="40"/>
      <c r="I15" s="40"/>
      <c r="J15" s="40"/>
    </row>
    <row r="16" spans="1:10" x14ac:dyDescent="0.3">
      <c r="A16" s="17" t="s">
        <v>23</v>
      </c>
      <c r="B16" s="18"/>
      <c r="C16" s="18"/>
      <c r="D16" s="18"/>
      <c r="E16" s="18"/>
      <c r="F16" s="18"/>
      <c r="G16" s="18"/>
      <c r="H16" s="18"/>
      <c r="I16" s="18"/>
    </row>
    <row r="17" spans="1:9" x14ac:dyDescent="0.3">
      <c r="A17" s="18" t="s">
        <v>73</v>
      </c>
      <c r="B17" s="18"/>
      <c r="C17" s="18"/>
      <c r="D17" s="18"/>
      <c r="E17" s="18"/>
      <c r="F17" s="18"/>
      <c r="G17" s="18"/>
      <c r="H17" s="18"/>
      <c r="I17" s="18"/>
    </row>
    <row r="18" spans="1:9" x14ac:dyDescent="0.3">
      <c r="A18" s="18" t="s">
        <v>74</v>
      </c>
      <c r="B18" s="18"/>
      <c r="C18" s="18"/>
      <c r="D18" s="18"/>
      <c r="E18" s="18"/>
      <c r="F18" s="18"/>
      <c r="G18" s="18"/>
      <c r="H18" s="18"/>
      <c r="I18" s="18"/>
    </row>
    <row r="19" spans="1:9" x14ac:dyDescent="0.3">
      <c r="A19" s="18" t="s">
        <v>75</v>
      </c>
      <c r="B19" s="18"/>
      <c r="C19" s="18"/>
      <c r="D19" s="18"/>
      <c r="E19" s="18"/>
      <c r="F19" s="18"/>
      <c r="G19" s="18"/>
      <c r="H19" s="18"/>
      <c r="I19" s="18"/>
    </row>
    <row r="20" spans="1:9" x14ac:dyDescent="0.3">
      <c r="A20" s="18" t="s">
        <v>76</v>
      </c>
      <c r="B20" s="18"/>
      <c r="C20" s="18"/>
      <c r="D20" s="18"/>
      <c r="E20" s="18"/>
      <c r="F20" s="18"/>
      <c r="G20" s="18"/>
      <c r="H20" s="18"/>
      <c r="I20" s="18"/>
    </row>
    <row r="21" spans="1:9" x14ac:dyDescent="0.3">
      <c r="A21" s="18" t="s">
        <v>77</v>
      </c>
      <c r="B21" s="18"/>
      <c r="C21" s="18"/>
      <c r="D21" s="18"/>
      <c r="E21" s="18"/>
      <c r="F21" s="18"/>
      <c r="G21" s="18"/>
      <c r="H21" s="18"/>
      <c r="I21" s="18"/>
    </row>
    <row r="22" spans="1:9" x14ac:dyDescent="0.3">
      <c r="A22" s="18" t="s">
        <v>78</v>
      </c>
      <c r="B22" s="18"/>
      <c r="C22" s="18"/>
      <c r="D22" s="18"/>
      <c r="E22" s="18"/>
      <c r="F22" s="18"/>
      <c r="G22" s="18"/>
      <c r="H22" s="18"/>
      <c r="I22" s="18"/>
    </row>
    <row r="23" spans="1:9" x14ac:dyDescent="0.3">
      <c r="A23" s="18" t="s">
        <v>79</v>
      </c>
      <c r="B23" s="18"/>
      <c r="C23" s="18"/>
      <c r="D23" s="18"/>
      <c r="E23" s="18"/>
      <c r="F23" s="18"/>
      <c r="G23" s="18"/>
      <c r="H23" s="18"/>
      <c r="I23" s="18"/>
    </row>
    <row r="24" spans="1:9" x14ac:dyDescent="0.3">
      <c r="A24" s="18" t="s">
        <v>80</v>
      </c>
      <c r="B24" s="18"/>
      <c r="C24" s="18"/>
      <c r="D24" s="19" t="s">
        <v>81</v>
      </c>
      <c r="E24" s="18" t="s">
        <v>82</v>
      </c>
      <c r="F24" s="18"/>
      <c r="G24" s="18"/>
      <c r="H24" s="18"/>
      <c r="I24" s="18"/>
    </row>
    <row r="25" spans="1:9" x14ac:dyDescent="0.3">
      <c r="A25" s="18" t="s">
        <v>83</v>
      </c>
      <c r="B25" s="18"/>
      <c r="C25" s="18"/>
      <c r="D25" s="19" t="s">
        <v>81</v>
      </c>
      <c r="E25" s="18" t="s">
        <v>84</v>
      </c>
      <c r="F25" s="18"/>
      <c r="G25" s="18"/>
      <c r="H25" s="18"/>
      <c r="I25" s="18"/>
    </row>
    <row r="26" spans="1:9" x14ac:dyDescent="0.3">
      <c r="A26" s="18" t="s">
        <v>85</v>
      </c>
      <c r="B26" s="18"/>
      <c r="C26" s="18"/>
      <c r="D26" s="19" t="s">
        <v>81</v>
      </c>
      <c r="E26" s="18" t="s">
        <v>86</v>
      </c>
      <c r="F26" s="18"/>
      <c r="G26" s="18"/>
      <c r="H26" s="18"/>
      <c r="I26" s="18"/>
    </row>
    <row r="27" spans="1:9" x14ac:dyDescent="0.3">
      <c r="A27" s="18" t="s">
        <v>87</v>
      </c>
      <c r="B27" s="18"/>
      <c r="C27" s="18"/>
      <c r="D27" s="19" t="s">
        <v>81</v>
      </c>
      <c r="E27" s="18" t="s">
        <v>58</v>
      </c>
      <c r="F27" s="18"/>
      <c r="G27" s="18"/>
      <c r="H27" s="18"/>
      <c r="I27" s="18"/>
    </row>
    <row r="28" spans="1:9" x14ac:dyDescent="0.3">
      <c r="A28" s="18" t="s">
        <v>88</v>
      </c>
      <c r="B28" s="18"/>
      <c r="C28" s="18"/>
      <c r="D28" s="19" t="s">
        <v>81</v>
      </c>
      <c r="E28" s="18" t="s">
        <v>89</v>
      </c>
      <c r="F28" s="18"/>
      <c r="G28" s="18"/>
      <c r="H28" s="18"/>
      <c r="I28" s="18"/>
    </row>
    <row r="29" spans="1:9" x14ac:dyDescent="0.3">
      <c r="A29" s="18" t="s">
        <v>90</v>
      </c>
      <c r="B29" s="18"/>
      <c r="C29" s="18"/>
      <c r="D29" s="19" t="s">
        <v>81</v>
      </c>
      <c r="E29" s="18" t="s">
        <v>91</v>
      </c>
      <c r="F29" s="18"/>
      <c r="G29" s="18"/>
      <c r="H29" s="18"/>
      <c r="I29" s="18"/>
    </row>
    <row r="30" spans="1:9" x14ac:dyDescent="0.3">
      <c r="A30" s="18" t="s">
        <v>92</v>
      </c>
      <c r="B30" s="18"/>
      <c r="C30" s="18"/>
      <c r="D30" s="18"/>
      <c r="E30" s="18"/>
      <c r="F30" s="18"/>
      <c r="G30" s="18"/>
      <c r="H30" s="18"/>
      <c r="I30" s="18"/>
    </row>
  </sheetData>
  <mergeCells count="4">
    <mergeCell ref="A1:J1"/>
    <mergeCell ref="A13:C13"/>
    <mergeCell ref="A14:C14"/>
    <mergeCell ref="A15: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workbookViewId="0">
      <selection activeCell="F6" sqref="F5:F6"/>
    </sheetView>
  </sheetViews>
  <sheetFormatPr defaultColWidth="9.109375" defaultRowHeight="13.8" x14ac:dyDescent="0.25"/>
  <cols>
    <col min="1" max="1" width="9.88671875" style="71" customWidth="1"/>
    <col min="2" max="2" width="12.33203125" style="71" customWidth="1"/>
    <col min="3" max="3" width="12.109375" style="71" customWidth="1"/>
    <col min="4" max="4" width="10.5546875" style="71" customWidth="1"/>
    <col min="5" max="5" width="13.33203125" style="71" customWidth="1"/>
    <col min="6" max="16384" width="9.109375" style="71"/>
  </cols>
  <sheetData>
    <row r="1" spans="1:9" ht="14.4" thickBot="1" x14ac:dyDescent="0.3">
      <c r="A1" s="69" t="s">
        <v>107</v>
      </c>
      <c r="B1" s="70"/>
      <c r="C1" s="70"/>
      <c r="D1" s="70"/>
      <c r="E1" s="70"/>
      <c r="F1" s="70"/>
      <c r="G1" s="70"/>
      <c r="H1" s="70"/>
      <c r="I1" s="70"/>
    </row>
    <row r="2" spans="1:9" x14ac:dyDescent="0.25">
      <c r="A2" s="72"/>
      <c r="B2" s="73" t="s">
        <v>108</v>
      </c>
      <c r="C2" s="74"/>
      <c r="D2" s="75"/>
      <c r="E2" s="72"/>
      <c r="F2" s="72"/>
      <c r="G2" s="72"/>
      <c r="H2" s="72"/>
      <c r="I2" s="72"/>
    </row>
    <row r="3" spans="1:9" x14ac:dyDescent="0.25">
      <c r="A3" s="72"/>
      <c r="B3" s="76"/>
      <c r="C3" s="77" t="s">
        <v>109</v>
      </c>
      <c r="D3" s="78" t="s">
        <v>110</v>
      </c>
      <c r="E3" s="72"/>
      <c r="F3" s="72"/>
      <c r="G3" s="72"/>
      <c r="H3" s="72"/>
      <c r="I3" s="72"/>
    </row>
    <row r="4" spans="1:9" x14ac:dyDescent="0.25">
      <c r="A4" s="72"/>
      <c r="B4" s="76" t="s">
        <v>111</v>
      </c>
      <c r="C4" s="77">
        <v>500</v>
      </c>
      <c r="D4" s="78">
        <v>150</v>
      </c>
      <c r="E4" s="72"/>
      <c r="F4" s="72"/>
      <c r="G4" s="72"/>
      <c r="H4" s="72"/>
      <c r="I4" s="72"/>
    </row>
    <row r="5" spans="1:9" x14ac:dyDescent="0.25">
      <c r="A5" s="72"/>
      <c r="B5" s="76" t="s">
        <v>112</v>
      </c>
      <c r="C5" s="77">
        <v>450</v>
      </c>
      <c r="D5" s="78">
        <v>120</v>
      </c>
      <c r="E5" s="72"/>
      <c r="F5" s="72"/>
      <c r="G5" s="72"/>
      <c r="H5" s="72"/>
      <c r="I5" s="72"/>
    </row>
    <row r="6" spans="1:9" ht="14.4" thickBot="1" x14ac:dyDescent="0.3">
      <c r="A6" s="72"/>
      <c r="B6" s="79" t="s">
        <v>113</v>
      </c>
      <c r="C6" s="80">
        <v>200</v>
      </c>
      <c r="D6" s="81">
        <v>100</v>
      </c>
      <c r="E6" s="72"/>
      <c r="F6" s="72"/>
      <c r="G6" s="72"/>
      <c r="H6" s="72"/>
      <c r="I6" s="72"/>
    </row>
    <row r="7" spans="1:9" ht="14.4" thickBot="1" x14ac:dyDescent="0.3">
      <c r="A7" s="72"/>
      <c r="B7" s="72"/>
      <c r="C7" s="72"/>
      <c r="D7" s="72"/>
      <c r="E7" s="72"/>
      <c r="F7" s="72"/>
      <c r="G7" s="72"/>
      <c r="H7" s="72"/>
      <c r="I7" s="72"/>
    </row>
    <row r="8" spans="1:9" x14ac:dyDescent="0.25">
      <c r="A8" s="82" t="s">
        <v>114</v>
      </c>
      <c r="B8" s="83" t="s">
        <v>115</v>
      </c>
      <c r="C8" s="83" t="s">
        <v>116</v>
      </c>
      <c r="D8" s="84" t="s">
        <v>111</v>
      </c>
      <c r="E8" s="84"/>
      <c r="F8" s="84" t="s">
        <v>112</v>
      </c>
      <c r="G8" s="84"/>
      <c r="H8" s="84" t="s">
        <v>113</v>
      </c>
      <c r="I8" s="85"/>
    </row>
    <row r="9" spans="1:9" x14ac:dyDescent="0.25">
      <c r="A9" s="86"/>
      <c r="B9" s="87"/>
      <c r="C9" s="87"/>
      <c r="D9" s="88" t="s">
        <v>117</v>
      </c>
      <c r="E9" s="88" t="s">
        <v>118</v>
      </c>
      <c r="F9" s="88" t="s">
        <v>117</v>
      </c>
      <c r="G9" s="88" t="s">
        <v>118</v>
      </c>
      <c r="H9" s="88" t="s">
        <v>117</v>
      </c>
      <c r="I9" s="89" t="s">
        <v>118</v>
      </c>
    </row>
    <row r="10" spans="1:9" s="93" customFormat="1" x14ac:dyDescent="0.3">
      <c r="A10" s="90" t="s">
        <v>119</v>
      </c>
      <c r="B10" s="91" t="s">
        <v>120</v>
      </c>
      <c r="C10" s="91">
        <v>100</v>
      </c>
      <c r="D10" s="91"/>
      <c r="E10" s="91"/>
      <c r="F10" s="91"/>
      <c r="G10" s="91"/>
      <c r="H10" s="91"/>
      <c r="I10" s="92"/>
    </row>
    <row r="11" spans="1:9" s="93" customFormat="1" x14ac:dyDescent="0.3">
      <c r="A11" s="90" t="s">
        <v>121</v>
      </c>
      <c r="B11" s="91" t="s">
        <v>122</v>
      </c>
      <c r="C11" s="91">
        <v>150</v>
      </c>
      <c r="D11" s="91"/>
      <c r="E11" s="91"/>
      <c r="F11" s="91"/>
      <c r="G11" s="91"/>
      <c r="H11" s="91"/>
      <c r="I11" s="92"/>
    </row>
    <row r="12" spans="1:9" s="93" customFormat="1" x14ac:dyDescent="0.3">
      <c r="A12" s="90" t="s">
        <v>123</v>
      </c>
      <c r="B12" s="91" t="s">
        <v>124</v>
      </c>
      <c r="C12" s="91">
        <v>200</v>
      </c>
      <c r="D12" s="91"/>
      <c r="E12" s="91"/>
      <c r="F12" s="91"/>
      <c r="G12" s="91"/>
      <c r="H12" s="91"/>
      <c r="I12" s="92"/>
    </row>
    <row r="13" spans="1:9" s="93" customFormat="1" x14ac:dyDescent="0.3">
      <c r="A13" s="90" t="s">
        <v>125</v>
      </c>
      <c r="B13" s="91" t="s">
        <v>126</v>
      </c>
      <c r="C13" s="91">
        <v>100</v>
      </c>
      <c r="D13" s="91"/>
      <c r="E13" s="91"/>
      <c r="F13" s="91"/>
      <c r="G13" s="91"/>
      <c r="H13" s="91"/>
      <c r="I13" s="92"/>
    </row>
    <row r="14" spans="1:9" s="93" customFormat="1" x14ac:dyDescent="0.3">
      <c r="A14" s="90" t="s">
        <v>127</v>
      </c>
      <c r="B14" s="91" t="s">
        <v>128</v>
      </c>
      <c r="C14" s="91">
        <v>50</v>
      </c>
      <c r="D14" s="91"/>
      <c r="E14" s="91"/>
      <c r="F14" s="91"/>
      <c r="G14" s="91"/>
      <c r="H14" s="91"/>
      <c r="I14" s="92"/>
    </row>
    <row r="15" spans="1:9" s="93" customFormat="1" x14ac:dyDescent="0.3">
      <c r="A15" s="90" t="s">
        <v>129</v>
      </c>
      <c r="B15" s="91" t="s">
        <v>130</v>
      </c>
      <c r="C15" s="91">
        <v>120</v>
      </c>
      <c r="D15" s="91"/>
      <c r="E15" s="91"/>
      <c r="F15" s="91"/>
      <c r="G15" s="91"/>
      <c r="H15" s="91"/>
      <c r="I15" s="92"/>
    </row>
    <row r="16" spans="1:9" s="93" customFormat="1" x14ac:dyDescent="0.3">
      <c r="A16" s="90" t="s">
        <v>131</v>
      </c>
      <c r="B16" s="91" t="s">
        <v>132</v>
      </c>
      <c r="C16" s="91">
        <v>80</v>
      </c>
      <c r="D16" s="91"/>
      <c r="E16" s="91"/>
      <c r="F16" s="91"/>
      <c r="G16" s="91"/>
      <c r="H16" s="91"/>
      <c r="I16" s="92"/>
    </row>
    <row r="17" spans="1:9" s="93" customFormat="1" x14ac:dyDescent="0.3">
      <c r="A17" s="94"/>
      <c r="B17" s="91" t="s">
        <v>133</v>
      </c>
      <c r="C17" s="91"/>
      <c r="D17" s="91"/>
      <c r="E17" s="91"/>
      <c r="F17" s="91"/>
      <c r="G17" s="91"/>
      <c r="H17" s="91"/>
      <c r="I17" s="92"/>
    </row>
    <row r="18" spans="1:9" s="93" customFormat="1" ht="14.4" thickBot="1" x14ac:dyDescent="0.35">
      <c r="A18" s="95"/>
      <c r="B18" s="96" t="s">
        <v>134</v>
      </c>
      <c r="C18" s="97"/>
      <c r="D18" s="97"/>
      <c r="E18" s="97"/>
      <c r="F18" s="97"/>
      <c r="G18" s="97"/>
      <c r="H18" s="97"/>
      <c r="I18" s="98"/>
    </row>
    <row r="19" spans="1:9" x14ac:dyDescent="0.25">
      <c r="A19" s="99" t="s">
        <v>23</v>
      </c>
    </row>
    <row r="20" spans="1:9" x14ac:dyDescent="0.25">
      <c r="A20" s="71" t="s">
        <v>135</v>
      </c>
    </row>
    <row r="21" spans="1:9" x14ac:dyDescent="0.25">
      <c r="A21" s="71" t="s">
        <v>136</v>
      </c>
    </row>
    <row r="22" spans="1:9" x14ac:dyDescent="0.25">
      <c r="B22" s="71" t="s">
        <v>137</v>
      </c>
    </row>
    <row r="23" spans="1:9" x14ac:dyDescent="0.25">
      <c r="B23" s="71" t="s">
        <v>138</v>
      </c>
    </row>
    <row r="24" spans="1:9" x14ac:dyDescent="0.25">
      <c r="B24" s="71" t="s">
        <v>139</v>
      </c>
    </row>
    <row r="25" spans="1:9" x14ac:dyDescent="0.25">
      <c r="A25" s="71" t="s">
        <v>140</v>
      </c>
    </row>
    <row r="26" spans="1:9" x14ac:dyDescent="0.25">
      <c r="A26" s="71" t="s">
        <v>141</v>
      </c>
    </row>
    <row r="27" spans="1:9" x14ac:dyDescent="0.25">
      <c r="A27" s="71" t="s">
        <v>142</v>
      </c>
    </row>
    <row r="28" spans="1:9" x14ac:dyDescent="0.25">
      <c r="A28" s="71" t="s">
        <v>143</v>
      </c>
    </row>
  </sheetData>
  <mergeCells count="9">
    <mergeCell ref="A17:A18"/>
    <mergeCell ref="A1:I1"/>
    <mergeCell ref="B2:D2"/>
    <mergeCell ref="A8:A9"/>
    <mergeCell ref="B8:B9"/>
    <mergeCell ref="C8:C9"/>
    <mergeCell ref="D8:E8"/>
    <mergeCell ref="F8:G8"/>
    <mergeCell ref="H8: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13</vt:lpstr>
      <vt:lpstr>14</vt:lpstr>
      <vt:lpstr>15</vt:lpstr>
      <vt:lpstr>16</vt:lpstr>
    </vt:vector>
  </TitlesOfParts>
  <Company>CaoThangIT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Thang</dc:creator>
  <cp:lastModifiedBy>HP</cp:lastModifiedBy>
  <dcterms:created xsi:type="dcterms:W3CDTF">2016-06-20T09:52:39Z</dcterms:created>
  <dcterms:modified xsi:type="dcterms:W3CDTF">2025-08-11T06:21:38Z</dcterms:modified>
</cp:coreProperties>
</file>